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e_m\Desktop\cv\Mean Reversion Pairs Trading\"/>
    </mc:Choice>
  </mc:AlternateContent>
  <xr:revisionPtr revIDLastSave="0" documentId="13_ncr:9_{CCC9FDD3-8505-443B-8E77-E9BC2F3B79D8}" xr6:coauthVersionLast="47" xr6:coauthVersionMax="47" xr10:uidLastSave="{00000000-0000-0000-0000-000000000000}"/>
  <bookViews>
    <workbookView xWindow="10410" yWindow="1320" windowWidth="13650" windowHeight="13905" activeTab="1" xr2:uid="{BAE2C483-99DF-4A79-A296-255F9B6BCEE5}"/>
  </bookViews>
  <sheets>
    <sheet name="Alpha calculation 2330.TW VS 24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B6" i="2" l="1"/>
  <c r="F3" i="2"/>
  <c r="K1" i="2"/>
  <c r="C13" i="2"/>
  <c r="D13" i="2" s="1"/>
  <c r="E3" i="2" s="1"/>
  <c r="J3" i="2"/>
  <c r="J4" i="2" s="1"/>
  <c r="K3" i="2"/>
  <c r="M4" i="2"/>
  <c r="K4" i="2"/>
  <c r="I3" i="2"/>
  <c r="I4" i="2" s="1"/>
  <c r="B3" i="2" s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2" i="1"/>
  <c r="B5" i="2" l="1"/>
  <c r="L4" i="2"/>
  <c r="D3" i="2" s="1"/>
</calcChain>
</file>

<file path=xl/sharedStrings.xml><?xml version="1.0" encoding="utf-8"?>
<sst xmlns="http://schemas.openxmlformats.org/spreadsheetml/2006/main" count="1498" uniqueCount="52">
  <si>
    <t>Date</t>
  </si>
  <si>
    <t>2330.TW_Close</t>
  </si>
  <si>
    <t>2330.TW_dailyReturns</t>
  </si>
  <si>
    <t>2454.TW_Close</t>
  </si>
  <si>
    <t>2454.TW_dailyReturns</t>
  </si>
  <si>
    <t>spread</t>
  </si>
  <si>
    <t>abs_sprd</t>
  </si>
  <si>
    <t>2330.TW_rolling avg</t>
  </si>
  <si>
    <t>2454.TW_rolling avg</t>
  </si>
  <si>
    <t>isSprdPos</t>
  </si>
  <si>
    <t>signal</t>
  </si>
  <si>
    <t>axe</t>
  </si>
  <si>
    <t>leverage</t>
  </si>
  <si>
    <t>ratio</t>
  </si>
  <si>
    <t>2330.TW_Size</t>
  </si>
  <si>
    <t>2454.TW_Size</t>
  </si>
  <si>
    <t>Gross size</t>
  </si>
  <si>
    <t>2330.TW_Cashflow</t>
  </si>
  <si>
    <t>2454.TW_Cashflow</t>
  </si>
  <si>
    <t>2330.TW_MTM</t>
  </si>
  <si>
    <t>2454.TW_MTM</t>
  </si>
  <si>
    <t>Live Trades</t>
  </si>
  <si>
    <t>2330.TW_PnL</t>
  </si>
  <si>
    <t>2454.TW_PnL</t>
  </si>
  <si>
    <t>Total PnL</t>
  </si>
  <si>
    <t>riskThreshold</t>
  </si>
  <si>
    <t>grossCashflow</t>
  </si>
  <si>
    <t>weighted</t>
  </si>
  <si>
    <t>totalMTM</t>
  </si>
  <si>
    <t>totalMTM in %</t>
  </si>
  <si>
    <t>isStoppedOut</t>
  </si>
  <si>
    <t>Adjusted PnL</t>
  </si>
  <si>
    <t>Gross Capital</t>
  </si>
  <si>
    <t xml:space="preserve"> -   </t>
  </si>
  <si>
    <t>Opened</t>
  </si>
  <si>
    <t>Closed</t>
  </si>
  <si>
    <t>inf</t>
  </si>
  <si>
    <t>Live</t>
  </si>
  <si>
    <t>beta</t>
  </si>
  <si>
    <t>R</t>
  </si>
  <si>
    <t>Rf</t>
  </si>
  <si>
    <t>Rm</t>
  </si>
  <si>
    <t>benchmark vol</t>
  </si>
  <si>
    <t>alpha</t>
  </si>
  <si>
    <t>ticker1 vol</t>
  </si>
  <si>
    <t>ticker2 vol</t>
  </si>
  <si>
    <t>annualised</t>
  </si>
  <si>
    <t>combined vol</t>
  </si>
  <si>
    <t>no. of days</t>
  </si>
  <si>
    <t>year</t>
  </si>
  <si>
    <t>sharpe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</si>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</sst>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722D-21EE-401F-A629-7462E5A80272}">
  <dimension ref="A1:AH1376"/>
  <sheetViews>
    <sheetView topLeftCell="Z1" workbookViewId="0">
      <pane ySplit="1" topLeftCell="A1348" activePane="bottomLeft" state="frozen"/>
      <selection activeCell="Y1" sqref="Y1"/>
      <selection pane="bottomLeft" activeCell="A1375" sqref="A1375"/>
    </sheetView>
  </sheetViews>
  <sheetFormatPr defaultRowHeight="15" x14ac:dyDescent="0.25"/>
  <cols>
    <col min="3" max="3" width="20.42578125" bestFit="1" customWidth="1"/>
    <col min="5" max="5" width="20.42578125" bestFit="1" customWidth="1"/>
    <col min="32" max="32" width="12.28515625" bestFit="1" customWidth="1"/>
    <col min="33" max="33" width="12.8554687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39</v>
      </c>
    </row>
    <row r="2" spans="1:34" x14ac:dyDescent="0.25">
      <c r="A2" s="1">
        <v>43468</v>
      </c>
      <c r="B2">
        <v>215.5</v>
      </c>
      <c r="C2">
        <v>-1.8223235000000001E-2</v>
      </c>
      <c r="D2">
        <v>223.5</v>
      </c>
      <c r="E2">
        <v>1.3605442000000001E-2</v>
      </c>
      <c r="F2">
        <v>-3.1828677E-2</v>
      </c>
      <c r="G2">
        <v>3.1828677E-2</v>
      </c>
      <c r="J2">
        <v>0</v>
      </c>
      <c r="K2">
        <v>0</v>
      </c>
      <c r="M2">
        <v>5</v>
      </c>
      <c r="N2">
        <v>0.77431459800000002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W2">
        <v>0</v>
      </c>
      <c r="X2">
        <v>0</v>
      </c>
      <c r="Y2">
        <v>0</v>
      </c>
      <c r="AA2">
        <v>0</v>
      </c>
      <c r="AB2" t="s">
        <v>33</v>
      </c>
      <c r="AC2">
        <v>0</v>
      </c>
      <c r="AD2">
        <v>0</v>
      </c>
      <c r="AE2">
        <v>0</v>
      </c>
      <c r="AF2">
        <v>0</v>
      </c>
      <c r="AG2">
        <v>0</v>
      </c>
      <c r="AH2">
        <f>IF(AF2&lt;&gt;0,AF2/AA2,0)</f>
        <v>0</v>
      </c>
    </row>
    <row r="3" spans="1:34" x14ac:dyDescent="0.25">
      <c r="A3" s="1">
        <v>43469</v>
      </c>
      <c r="B3">
        <v>208</v>
      </c>
      <c r="C3">
        <v>-3.4802784000000003E-2</v>
      </c>
      <c r="D3">
        <v>217</v>
      </c>
      <c r="E3">
        <v>-2.9082773999999999E-2</v>
      </c>
      <c r="F3">
        <v>-5.7200100000000002E-3</v>
      </c>
      <c r="G3">
        <v>5.7200100000000002E-3</v>
      </c>
      <c r="J3">
        <v>0</v>
      </c>
      <c r="K3">
        <v>0</v>
      </c>
      <c r="L3">
        <v>0</v>
      </c>
      <c r="M3">
        <v>5</v>
      </c>
      <c r="N3">
        <v>0.87180275900000004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W3">
        <v>0</v>
      </c>
      <c r="X3">
        <v>0</v>
      </c>
      <c r="Y3">
        <v>0</v>
      </c>
      <c r="AA3">
        <v>0</v>
      </c>
      <c r="AB3" t="s">
        <v>33</v>
      </c>
      <c r="AC3">
        <v>0</v>
      </c>
      <c r="AD3">
        <v>0</v>
      </c>
      <c r="AE3">
        <v>0</v>
      </c>
      <c r="AF3">
        <v>0</v>
      </c>
      <c r="AG3">
        <v>0</v>
      </c>
      <c r="AH3">
        <f t="shared" ref="AH3:AH66" si="0">IF(AF3&lt;&gt;0,AF3/AA3,0)</f>
        <v>0</v>
      </c>
    </row>
    <row r="4" spans="1:34" x14ac:dyDescent="0.25">
      <c r="A4" s="1">
        <v>43472</v>
      </c>
      <c r="B4">
        <v>213</v>
      </c>
      <c r="C4">
        <v>2.4038462E-2</v>
      </c>
      <c r="D4">
        <v>219</v>
      </c>
      <c r="E4">
        <v>9.2165900000000002E-3</v>
      </c>
      <c r="F4">
        <v>1.4821872E-2</v>
      </c>
      <c r="G4">
        <v>1.4821872E-2</v>
      </c>
      <c r="J4">
        <v>1</v>
      </c>
      <c r="K4">
        <v>0</v>
      </c>
      <c r="L4">
        <v>0</v>
      </c>
      <c r="M4">
        <v>5</v>
      </c>
      <c r="N4">
        <v>0.394210424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W4">
        <v>0</v>
      </c>
      <c r="X4">
        <v>0</v>
      </c>
      <c r="Y4">
        <v>0</v>
      </c>
      <c r="AA4">
        <v>0</v>
      </c>
      <c r="AB4" t="s">
        <v>33</v>
      </c>
      <c r="AC4">
        <v>0</v>
      </c>
      <c r="AD4">
        <v>0</v>
      </c>
      <c r="AE4">
        <v>0</v>
      </c>
      <c r="AF4">
        <v>0</v>
      </c>
      <c r="AG4">
        <v>0</v>
      </c>
      <c r="AH4">
        <f t="shared" si="0"/>
        <v>0</v>
      </c>
    </row>
    <row r="5" spans="1:34" x14ac:dyDescent="0.25">
      <c r="A5" s="1">
        <v>43473</v>
      </c>
      <c r="B5">
        <v>211</v>
      </c>
      <c r="C5">
        <v>-9.3896710000000005E-3</v>
      </c>
      <c r="D5">
        <v>222</v>
      </c>
      <c r="E5">
        <v>1.369863E-2</v>
      </c>
      <c r="F5">
        <v>-2.3088300999999999E-2</v>
      </c>
      <c r="G5">
        <v>2.3088300999999999E-2</v>
      </c>
      <c r="J5">
        <v>0</v>
      </c>
      <c r="K5">
        <v>0</v>
      </c>
      <c r="L5">
        <v>0</v>
      </c>
      <c r="M5">
        <v>5</v>
      </c>
      <c r="N5">
        <v>1.5349607220000001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W5">
        <v>0</v>
      </c>
      <c r="X5">
        <v>0</v>
      </c>
      <c r="Y5">
        <v>0</v>
      </c>
      <c r="AA5">
        <v>0</v>
      </c>
      <c r="AB5" t="s">
        <v>33</v>
      </c>
      <c r="AC5">
        <v>0</v>
      </c>
      <c r="AD5">
        <v>0</v>
      </c>
      <c r="AE5">
        <v>0</v>
      </c>
      <c r="AF5">
        <v>0</v>
      </c>
      <c r="AG5">
        <v>0</v>
      </c>
      <c r="AH5">
        <f t="shared" si="0"/>
        <v>0</v>
      </c>
    </row>
    <row r="6" spans="1:34" x14ac:dyDescent="0.25">
      <c r="A6" s="1">
        <v>43474</v>
      </c>
      <c r="B6">
        <v>215.5</v>
      </c>
      <c r="C6">
        <v>2.1327013999999998E-2</v>
      </c>
      <c r="D6">
        <v>226</v>
      </c>
      <c r="E6">
        <v>1.8018018E-2</v>
      </c>
      <c r="F6">
        <v>3.3089959999999998E-3</v>
      </c>
      <c r="G6">
        <v>3.3089959999999998E-3</v>
      </c>
      <c r="H6">
        <v>2.5524661000000001E-2</v>
      </c>
      <c r="I6">
        <v>1.9355633000000001E-2</v>
      </c>
      <c r="J6">
        <v>1</v>
      </c>
      <c r="K6">
        <v>0</v>
      </c>
      <c r="L6">
        <v>0</v>
      </c>
      <c r="M6">
        <v>5</v>
      </c>
      <c r="N6">
        <v>0.88600897899999997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W6">
        <v>0</v>
      </c>
      <c r="X6">
        <v>0</v>
      </c>
      <c r="Y6">
        <v>0</v>
      </c>
      <c r="Z6">
        <v>2.5524661000000001E-2</v>
      </c>
      <c r="AA6">
        <v>0</v>
      </c>
      <c r="AB6" t="s">
        <v>33</v>
      </c>
      <c r="AC6">
        <v>0</v>
      </c>
      <c r="AD6">
        <v>0</v>
      </c>
      <c r="AE6">
        <v>0</v>
      </c>
      <c r="AF6">
        <v>0</v>
      </c>
      <c r="AG6">
        <v>0</v>
      </c>
      <c r="AH6">
        <f t="shared" si="0"/>
        <v>0</v>
      </c>
    </row>
    <row r="7" spans="1:34" x14ac:dyDescent="0.25">
      <c r="A7" s="1">
        <v>43475</v>
      </c>
      <c r="B7">
        <v>216</v>
      </c>
      <c r="C7">
        <v>2.3201860000000001E-3</v>
      </c>
      <c r="D7">
        <v>226</v>
      </c>
      <c r="E7">
        <v>0</v>
      </c>
      <c r="F7">
        <v>2.3201860000000001E-3</v>
      </c>
      <c r="G7">
        <v>2.3201860000000001E-3</v>
      </c>
      <c r="H7">
        <v>2.4161083E-2</v>
      </c>
      <c r="I7">
        <v>1.880803E-2</v>
      </c>
      <c r="J7">
        <v>1</v>
      </c>
      <c r="K7">
        <v>0</v>
      </c>
      <c r="L7">
        <v>0</v>
      </c>
      <c r="M7">
        <v>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W7">
        <v>0</v>
      </c>
      <c r="X7">
        <v>0</v>
      </c>
      <c r="Y7">
        <v>0</v>
      </c>
      <c r="Z7">
        <v>2.4161083E-2</v>
      </c>
      <c r="AA7">
        <v>0</v>
      </c>
      <c r="AB7" t="s">
        <v>33</v>
      </c>
      <c r="AC7">
        <v>0</v>
      </c>
      <c r="AD7">
        <v>0</v>
      </c>
      <c r="AE7">
        <v>0</v>
      </c>
      <c r="AF7">
        <v>0</v>
      </c>
      <c r="AG7">
        <v>0</v>
      </c>
      <c r="AH7">
        <f t="shared" si="0"/>
        <v>0</v>
      </c>
    </row>
    <row r="8" spans="1:34" x14ac:dyDescent="0.25">
      <c r="A8" s="1">
        <v>43476</v>
      </c>
      <c r="B8">
        <v>220.5</v>
      </c>
      <c r="C8">
        <v>2.0833332999999999E-2</v>
      </c>
      <c r="D8">
        <v>227.5</v>
      </c>
      <c r="E8">
        <v>6.6371679999999997E-3</v>
      </c>
      <c r="F8">
        <v>1.4196165E-2</v>
      </c>
      <c r="G8">
        <v>1.4196165E-2</v>
      </c>
      <c r="H8">
        <v>1.4671492E-2</v>
      </c>
      <c r="I8">
        <v>6.8685930000000001E-3</v>
      </c>
      <c r="J8">
        <v>1</v>
      </c>
      <c r="K8">
        <v>0</v>
      </c>
      <c r="L8">
        <v>0</v>
      </c>
      <c r="M8">
        <v>5</v>
      </c>
      <c r="N8">
        <v>0.32869785099999999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W8">
        <v>0</v>
      </c>
      <c r="X8">
        <v>0</v>
      </c>
      <c r="Y8">
        <v>0</v>
      </c>
      <c r="Z8">
        <v>1.4671492E-2</v>
      </c>
      <c r="AA8">
        <v>0</v>
      </c>
      <c r="AB8" t="s">
        <v>33</v>
      </c>
      <c r="AC8">
        <v>0</v>
      </c>
      <c r="AD8">
        <v>0</v>
      </c>
      <c r="AE8">
        <v>0</v>
      </c>
      <c r="AF8">
        <v>0</v>
      </c>
      <c r="AG8">
        <v>0</v>
      </c>
      <c r="AH8">
        <f t="shared" si="0"/>
        <v>0</v>
      </c>
    </row>
    <row r="9" spans="1:34" x14ac:dyDescent="0.25">
      <c r="A9" s="1">
        <v>43479</v>
      </c>
      <c r="B9">
        <v>218.5</v>
      </c>
      <c r="C9">
        <v>-9.0702950000000008E-3</v>
      </c>
      <c r="D9">
        <v>231.5</v>
      </c>
      <c r="E9">
        <v>1.7582417999999999E-2</v>
      </c>
      <c r="F9">
        <v>-2.6652711999999999E-2</v>
      </c>
      <c r="G9">
        <v>2.6652711999999999E-2</v>
      </c>
      <c r="H9">
        <v>1.5242004E-2</v>
      </c>
      <c r="I9">
        <v>7.7414859999999997E-3</v>
      </c>
      <c r="J9">
        <v>0</v>
      </c>
      <c r="K9">
        <v>1</v>
      </c>
      <c r="L9">
        <v>1</v>
      </c>
      <c r="M9">
        <v>5</v>
      </c>
      <c r="N9">
        <v>2.053793346</v>
      </c>
      <c r="O9">
        <v>11</v>
      </c>
      <c r="P9">
        <v>-5</v>
      </c>
      <c r="Q9">
        <v>16</v>
      </c>
      <c r="R9">
        <v>-2403.5</v>
      </c>
      <c r="S9">
        <v>1157.5</v>
      </c>
      <c r="T9">
        <v>0</v>
      </c>
      <c r="U9">
        <v>0</v>
      </c>
      <c r="V9" t="s">
        <v>34</v>
      </c>
      <c r="W9">
        <v>-2403.5</v>
      </c>
      <c r="X9">
        <v>1157.5</v>
      </c>
      <c r="Y9">
        <v>0</v>
      </c>
      <c r="Z9">
        <v>1.5242004E-2</v>
      </c>
      <c r="AA9">
        <v>3561</v>
      </c>
      <c r="AB9">
        <v>0</v>
      </c>
      <c r="AC9">
        <v>0</v>
      </c>
      <c r="AD9">
        <v>0</v>
      </c>
      <c r="AE9">
        <v>0</v>
      </c>
      <c r="AF9">
        <v>0</v>
      </c>
      <c r="AG9">
        <v>3561</v>
      </c>
      <c r="AH9">
        <f t="shared" si="0"/>
        <v>0</v>
      </c>
    </row>
    <row r="10" spans="1:34" x14ac:dyDescent="0.25">
      <c r="A10" s="1">
        <v>43480</v>
      </c>
      <c r="B10">
        <v>221</v>
      </c>
      <c r="C10">
        <v>1.1441648E-2</v>
      </c>
      <c r="D10">
        <v>233</v>
      </c>
      <c r="E10">
        <v>6.4794819999999999E-3</v>
      </c>
      <c r="F10">
        <v>4.9621659999999996E-3</v>
      </c>
      <c r="G10">
        <v>4.9621659999999996E-3</v>
      </c>
      <c r="H10">
        <v>1.2926854999999999E-2</v>
      </c>
      <c r="I10">
        <v>7.8287159999999995E-3</v>
      </c>
      <c r="J10">
        <v>1</v>
      </c>
      <c r="K10">
        <v>0</v>
      </c>
      <c r="L10">
        <v>-1</v>
      </c>
      <c r="M10">
        <v>5</v>
      </c>
      <c r="N10">
        <v>0.59705638000000005</v>
      </c>
      <c r="O10">
        <v>-11</v>
      </c>
      <c r="P10">
        <v>5</v>
      </c>
      <c r="Q10">
        <v>16</v>
      </c>
      <c r="R10">
        <v>2431</v>
      </c>
      <c r="S10">
        <v>-1165</v>
      </c>
      <c r="T10">
        <v>27.5</v>
      </c>
      <c r="U10">
        <v>-7.5</v>
      </c>
      <c r="V10" t="s">
        <v>35</v>
      </c>
      <c r="W10">
        <v>2431</v>
      </c>
      <c r="X10">
        <v>-1165</v>
      </c>
      <c r="Y10">
        <v>20</v>
      </c>
      <c r="Z10">
        <v>1.2926854999999999E-2</v>
      </c>
      <c r="AA10">
        <v>3596</v>
      </c>
      <c r="AB10">
        <v>0</v>
      </c>
      <c r="AC10">
        <v>20</v>
      </c>
      <c r="AD10">
        <v>5.5617349999999999E-3</v>
      </c>
      <c r="AE10">
        <v>0</v>
      </c>
      <c r="AF10">
        <v>20</v>
      </c>
      <c r="AG10">
        <v>0</v>
      </c>
      <c r="AH10">
        <f t="shared" si="0"/>
        <v>5.5617352614015575E-3</v>
      </c>
    </row>
    <row r="11" spans="1:34" x14ac:dyDescent="0.25">
      <c r="A11" s="1">
        <v>43481</v>
      </c>
      <c r="B11">
        <v>217.5</v>
      </c>
      <c r="C11">
        <v>-1.5837104000000001E-2</v>
      </c>
      <c r="D11">
        <v>237</v>
      </c>
      <c r="E11">
        <v>1.7167381999999998E-2</v>
      </c>
      <c r="F11">
        <v>-3.3004486E-2</v>
      </c>
      <c r="G11">
        <v>3.3004486E-2</v>
      </c>
      <c r="H11">
        <v>1.4871415000000001E-2</v>
      </c>
      <c r="I11">
        <v>7.610136E-3</v>
      </c>
      <c r="J11">
        <v>0</v>
      </c>
      <c r="K11">
        <v>1</v>
      </c>
      <c r="L11">
        <v>1</v>
      </c>
      <c r="M11">
        <v>5</v>
      </c>
      <c r="N11">
        <v>1.181183535</v>
      </c>
      <c r="O11">
        <v>6</v>
      </c>
      <c r="P11">
        <v>-5</v>
      </c>
      <c r="Q11">
        <v>11</v>
      </c>
      <c r="R11">
        <v>-1305</v>
      </c>
      <c r="S11">
        <v>1185</v>
      </c>
      <c r="T11">
        <v>0</v>
      </c>
      <c r="U11">
        <v>0</v>
      </c>
      <c r="V11" t="s">
        <v>34</v>
      </c>
      <c r="W11">
        <v>-1305</v>
      </c>
      <c r="X11">
        <v>1185</v>
      </c>
      <c r="Y11">
        <v>0</v>
      </c>
      <c r="Z11">
        <v>1.4871415000000001E-2</v>
      </c>
      <c r="AA11">
        <v>2490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2490</v>
      </c>
      <c r="AH11">
        <f t="shared" si="0"/>
        <v>0</v>
      </c>
    </row>
    <row r="12" spans="1:34" x14ac:dyDescent="0.25">
      <c r="A12" s="1">
        <v>43482</v>
      </c>
      <c r="B12">
        <v>220.5</v>
      </c>
      <c r="C12">
        <v>1.3793102999999999E-2</v>
      </c>
      <c r="D12">
        <v>237</v>
      </c>
      <c r="E12">
        <v>0</v>
      </c>
      <c r="F12">
        <v>1.3793102999999999E-2</v>
      </c>
      <c r="G12">
        <v>1.3793102999999999E-2</v>
      </c>
      <c r="H12">
        <v>1.5801249999999999E-2</v>
      </c>
      <c r="I12">
        <v>7.610136E-3</v>
      </c>
      <c r="J12">
        <v>1</v>
      </c>
      <c r="K12">
        <v>0</v>
      </c>
      <c r="L12">
        <v>-1</v>
      </c>
      <c r="M12">
        <v>5</v>
      </c>
      <c r="N12">
        <v>0</v>
      </c>
      <c r="O12">
        <v>-6</v>
      </c>
      <c r="P12">
        <v>5</v>
      </c>
      <c r="Q12">
        <v>11</v>
      </c>
      <c r="R12">
        <v>1323</v>
      </c>
      <c r="S12">
        <v>-1185</v>
      </c>
      <c r="T12">
        <v>18</v>
      </c>
      <c r="U12">
        <v>0</v>
      </c>
      <c r="V12" t="s">
        <v>35</v>
      </c>
      <c r="W12">
        <v>1323</v>
      </c>
      <c r="X12">
        <v>-1185</v>
      </c>
      <c r="Y12">
        <v>18</v>
      </c>
      <c r="Z12">
        <v>1.5801249999999999E-2</v>
      </c>
      <c r="AA12">
        <v>2508</v>
      </c>
      <c r="AB12">
        <v>0</v>
      </c>
      <c r="AC12">
        <v>18</v>
      </c>
      <c r="AD12">
        <v>7.1770330000000002E-3</v>
      </c>
      <c r="AE12">
        <v>0</v>
      </c>
      <c r="AF12">
        <v>18</v>
      </c>
      <c r="AG12">
        <v>0</v>
      </c>
      <c r="AH12">
        <f t="shared" si="0"/>
        <v>7.1770334928229667E-3</v>
      </c>
    </row>
    <row r="13" spans="1:34" x14ac:dyDescent="0.25">
      <c r="A13" s="1">
        <v>43483</v>
      </c>
      <c r="B13">
        <v>218.5</v>
      </c>
      <c r="C13">
        <v>-9.0702950000000008E-3</v>
      </c>
      <c r="D13">
        <v>244</v>
      </c>
      <c r="E13">
        <v>2.9535865000000001E-2</v>
      </c>
      <c r="F13">
        <v>-3.860616E-2</v>
      </c>
      <c r="G13">
        <v>3.860616E-2</v>
      </c>
      <c r="H13">
        <v>1.342784E-2</v>
      </c>
      <c r="I13">
        <v>1.1365191E-2</v>
      </c>
      <c r="J13">
        <v>0</v>
      </c>
      <c r="K13">
        <v>1</v>
      </c>
      <c r="L13">
        <v>1</v>
      </c>
      <c r="M13">
        <v>5</v>
      </c>
      <c r="N13">
        <v>3.63635837</v>
      </c>
      <c r="O13">
        <v>19</v>
      </c>
      <c r="P13">
        <v>-5</v>
      </c>
      <c r="Q13">
        <v>24</v>
      </c>
      <c r="R13">
        <v>-4151.5</v>
      </c>
      <c r="S13">
        <v>1220</v>
      </c>
      <c r="T13">
        <v>0</v>
      </c>
      <c r="U13">
        <v>0</v>
      </c>
      <c r="V13" t="s">
        <v>34</v>
      </c>
      <c r="W13">
        <v>-4151.5</v>
      </c>
      <c r="X13">
        <v>1220</v>
      </c>
      <c r="Y13">
        <v>0</v>
      </c>
      <c r="Z13">
        <v>1.342784E-2</v>
      </c>
      <c r="AA13">
        <v>5371.5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5371.5</v>
      </c>
      <c r="AH13">
        <f t="shared" si="0"/>
        <v>0</v>
      </c>
    </row>
    <row r="14" spans="1:34" x14ac:dyDescent="0.25">
      <c r="A14" s="1">
        <v>43486</v>
      </c>
      <c r="B14">
        <v>221</v>
      </c>
      <c r="C14">
        <v>1.1441648E-2</v>
      </c>
      <c r="D14">
        <v>244.5</v>
      </c>
      <c r="E14">
        <v>2.0491799999999998E-3</v>
      </c>
      <c r="F14">
        <v>9.3924669999999998E-3</v>
      </c>
      <c r="G14">
        <v>9.3924669999999998E-3</v>
      </c>
      <c r="H14">
        <v>1.3760946E-2</v>
      </c>
      <c r="I14">
        <v>1.2279620999999999E-2</v>
      </c>
      <c r="J14">
        <v>1</v>
      </c>
      <c r="K14">
        <v>0</v>
      </c>
      <c r="L14">
        <v>-1</v>
      </c>
      <c r="M14">
        <v>5</v>
      </c>
      <c r="N14">
        <v>0.198142756</v>
      </c>
      <c r="O14">
        <v>-19</v>
      </c>
      <c r="P14">
        <v>5</v>
      </c>
      <c r="Q14">
        <v>24</v>
      </c>
      <c r="R14">
        <v>4199</v>
      </c>
      <c r="S14">
        <v>-1222.5</v>
      </c>
      <c r="T14">
        <v>47.5</v>
      </c>
      <c r="U14">
        <v>-2.5</v>
      </c>
      <c r="V14" t="s">
        <v>35</v>
      </c>
      <c r="W14">
        <v>4199</v>
      </c>
      <c r="X14">
        <v>-1222.5</v>
      </c>
      <c r="Y14">
        <v>45</v>
      </c>
      <c r="Z14">
        <v>1.3760946E-2</v>
      </c>
      <c r="AA14">
        <v>5421.5</v>
      </c>
      <c r="AB14">
        <v>0</v>
      </c>
      <c r="AC14">
        <v>45</v>
      </c>
      <c r="AD14">
        <v>8.3002860000000005E-3</v>
      </c>
      <c r="AE14">
        <v>0</v>
      </c>
      <c r="AF14">
        <v>45</v>
      </c>
      <c r="AG14">
        <v>0</v>
      </c>
      <c r="AH14">
        <f t="shared" si="0"/>
        <v>8.3002858987365116E-3</v>
      </c>
    </row>
    <row r="15" spans="1:34" x14ac:dyDescent="0.25">
      <c r="A15" s="1">
        <v>43487</v>
      </c>
      <c r="B15">
        <v>223</v>
      </c>
      <c r="C15">
        <v>9.049774E-3</v>
      </c>
      <c r="D15">
        <v>242</v>
      </c>
      <c r="E15">
        <v>-1.0224949000000001E-2</v>
      </c>
      <c r="F15">
        <v>1.9274723000000001E-2</v>
      </c>
      <c r="G15">
        <v>1.9274723000000001E-2</v>
      </c>
      <c r="H15">
        <v>1.3402961E-2</v>
      </c>
      <c r="I15">
        <v>1.5644182E-2</v>
      </c>
      <c r="J15">
        <v>1</v>
      </c>
      <c r="K15">
        <v>1</v>
      </c>
      <c r="L15">
        <v>1</v>
      </c>
      <c r="M15">
        <v>5</v>
      </c>
      <c r="N15">
        <v>1.2261226810000001</v>
      </c>
      <c r="O15">
        <v>-7</v>
      </c>
      <c r="P15">
        <v>5</v>
      </c>
      <c r="Q15">
        <v>12</v>
      </c>
      <c r="R15">
        <v>1561</v>
      </c>
      <c r="S15">
        <v>-1210</v>
      </c>
      <c r="T15">
        <v>0</v>
      </c>
      <c r="U15">
        <v>0</v>
      </c>
      <c r="V15" t="s">
        <v>34</v>
      </c>
      <c r="W15">
        <v>1561</v>
      </c>
      <c r="X15">
        <v>-1210</v>
      </c>
      <c r="Y15">
        <v>0</v>
      </c>
      <c r="Z15">
        <v>1.5644182E-2</v>
      </c>
      <c r="AA15">
        <v>2771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2771</v>
      </c>
      <c r="AH15">
        <f t="shared" si="0"/>
        <v>0</v>
      </c>
    </row>
    <row r="16" spans="1:34" x14ac:dyDescent="0.25">
      <c r="A16" s="1">
        <v>43488</v>
      </c>
      <c r="B16">
        <v>220.5</v>
      </c>
      <c r="C16">
        <v>-1.1210762000000001E-2</v>
      </c>
      <c r="D16">
        <v>241</v>
      </c>
      <c r="E16">
        <v>-4.1322310000000001E-3</v>
      </c>
      <c r="F16">
        <v>-7.0785309999999999E-3</v>
      </c>
      <c r="G16">
        <v>7.0785309999999999E-3</v>
      </c>
      <c r="H16">
        <v>1.1956079999999999E-2</v>
      </c>
      <c r="I16">
        <v>1.5320179E-2</v>
      </c>
      <c r="J16">
        <v>0</v>
      </c>
      <c r="K16">
        <v>0</v>
      </c>
      <c r="L16">
        <v>-1</v>
      </c>
      <c r="M16">
        <v>5</v>
      </c>
      <c r="N16">
        <v>0.40286351500000001</v>
      </c>
      <c r="O16">
        <v>7</v>
      </c>
      <c r="P16">
        <v>-5</v>
      </c>
      <c r="Q16">
        <v>12</v>
      </c>
      <c r="R16">
        <v>-1543.5</v>
      </c>
      <c r="S16">
        <v>1205</v>
      </c>
      <c r="T16">
        <v>17.5</v>
      </c>
      <c r="U16">
        <v>-5</v>
      </c>
      <c r="V16" t="s">
        <v>35</v>
      </c>
      <c r="W16">
        <v>-1543.5</v>
      </c>
      <c r="X16">
        <v>1205</v>
      </c>
      <c r="Y16">
        <v>12.5</v>
      </c>
      <c r="Z16">
        <v>1.5320179E-2</v>
      </c>
      <c r="AA16">
        <v>2748.5</v>
      </c>
      <c r="AB16">
        <v>0</v>
      </c>
      <c r="AC16">
        <v>12.5</v>
      </c>
      <c r="AD16">
        <v>4.5479350000000003E-3</v>
      </c>
      <c r="AE16">
        <v>0</v>
      </c>
      <c r="AF16">
        <v>12.5</v>
      </c>
      <c r="AG16">
        <v>0</v>
      </c>
      <c r="AH16">
        <f t="shared" si="0"/>
        <v>4.5479352374022198E-3</v>
      </c>
    </row>
    <row r="17" spans="1:34" x14ac:dyDescent="0.25">
      <c r="A17" s="1">
        <v>43489</v>
      </c>
      <c r="B17">
        <v>222.5</v>
      </c>
      <c r="C17">
        <v>9.0702950000000008E-3</v>
      </c>
      <c r="D17">
        <v>244.5</v>
      </c>
      <c r="E17">
        <v>1.4522821999999999E-2</v>
      </c>
      <c r="F17">
        <v>-5.4525270000000004E-3</v>
      </c>
      <c r="G17">
        <v>5.4525270000000004E-3</v>
      </c>
      <c r="H17">
        <v>1.1020495E-2</v>
      </c>
      <c r="I17">
        <v>1.5870432E-2</v>
      </c>
      <c r="J17">
        <v>0</v>
      </c>
      <c r="K17">
        <v>0</v>
      </c>
      <c r="L17">
        <v>0</v>
      </c>
      <c r="M17">
        <v>5</v>
      </c>
      <c r="N17">
        <v>1.7594561520000001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W17">
        <v>0</v>
      </c>
      <c r="X17">
        <v>0</v>
      </c>
      <c r="Y17">
        <v>0</v>
      </c>
      <c r="Z17">
        <v>1.5870432E-2</v>
      </c>
      <c r="AA17">
        <v>0</v>
      </c>
      <c r="AB17" t="s">
        <v>33</v>
      </c>
      <c r="AC17">
        <v>0</v>
      </c>
      <c r="AD17">
        <v>0</v>
      </c>
      <c r="AE17">
        <v>0</v>
      </c>
      <c r="AF17">
        <v>0</v>
      </c>
      <c r="AG17">
        <v>0</v>
      </c>
      <c r="AH17">
        <f t="shared" si="0"/>
        <v>0</v>
      </c>
    </row>
    <row r="18" spans="1:34" x14ac:dyDescent="0.25">
      <c r="A18" s="1">
        <v>43490</v>
      </c>
      <c r="B18">
        <v>226</v>
      </c>
      <c r="C18">
        <v>1.5730337E-2</v>
      </c>
      <c r="D18">
        <v>248</v>
      </c>
      <c r="E18">
        <v>1.4314927999999999E-2</v>
      </c>
      <c r="F18">
        <v>1.4154090000000001E-3</v>
      </c>
      <c r="G18">
        <v>1.4154090000000001E-3</v>
      </c>
      <c r="H18">
        <v>1.0439082000000001E-2</v>
      </c>
      <c r="I18">
        <v>1.1034118000000001E-2</v>
      </c>
      <c r="J18">
        <v>1</v>
      </c>
      <c r="K18">
        <v>0</v>
      </c>
      <c r="L18">
        <v>0</v>
      </c>
      <c r="M18">
        <v>5</v>
      </c>
      <c r="N18">
        <v>0.99860651099999997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W18">
        <v>0</v>
      </c>
      <c r="X18">
        <v>0</v>
      </c>
      <c r="Y18">
        <v>0</v>
      </c>
      <c r="Z18">
        <v>1.1034118000000001E-2</v>
      </c>
      <c r="AA18">
        <v>0</v>
      </c>
      <c r="AB18" t="s">
        <v>33</v>
      </c>
      <c r="AC18">
        <v>0</v>
      </c>
      <c r="AD18">
        <v>0</v>
      </c>
      <c r="AE18">
        <v>0</v>
      </c>
      <c r="AF18">
        <v>0</v>
      </c>
      <c r="AG18">
        <v>0</v>
      </c>
      <c r="AH18">
        <f t="shared" si="0"/>
        <v>0</v>
      </c>
    </row>
    <row r="19" spans="1:34" x14ac:dyDescent="0.25">
      <c r="A19" s="1">
        <v>43493</v>
      </c>
      <c r="B19">
        <v>229</v>
      </c>
      <c r="C19">
        <v>1.3274335999999999E-2</v>
      </c>
      <c r="D19">
        <v>248.5</v>
      </c>
      <c r="E19">
        <v>2.0161290000000002E-3</v>
      </c>
      <c r="F19">
        <v>1.1258206999999999E-2</v>
      </c>
      <c r="G19">
        <v>1.1258206999999999E-2</v>
      </c>
      <c r="H19">
        <v>1.0671675E-2</v>
      </c>
      <c r="I19">
        <v>1.1035069E-2</v>
      </c>
      <c r="J19">
        <v>1</v>
      </c>
      <c r="K19">
        <v>1</v>
      </c>
      <c r="L19">
        <v>1</v>
      </c>
      <c r="M19">
        <v>5</v>
      </c>
      <c r="N19">
        <v>0.16481488</v>
      </c>
      <c r="O19">
        <v>-1</v>
      </c>
      <c r="P19">
        <v>5</v>
      </c>
      <c r="Q19">
        <v>6</v>
      </c>
      <c r="R19">
        <v>229</v>
      </c>
      <c r="S19">
        <v>-1242.5</v>
      </c>
      <c r="T19">
        <v>0</v>
      </c>
      <c r="U19">
        <v>0</v>
      </c>
      <c r="V19" t="s">
        <v>34</v>
      </c>
      <c r="W19">
        <v>229</v>
      </c>
      <c r="X19">
        <v>-1242.5</v>
      </c>
      <c r="Y19">
        <v>0</v>
      </c>
      <c r="Z19">
        <v>1.1035069E-2</v>
      </c>
      <c r="AA19">
        <v>1471.5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1471.5</v>
      </c>
      <c r="AH19">
        <f t="shared" si="0"/>
        <v>0</v>
      </c>
    </row>
    <row r="20" spans="1:34" x14ac:dyDescent="0.25">
      <c r="A20" s="1">
        <v>43494</v>
      </c>
      <c r="B20">
        <v>222.5</v>
      </c>
      <c r="C20">
        <v>-2.8384278999999998E-2</v>
      </c>
      <c r="D20">
        <v>245.5</v>
      </c>
      <c r="E20">
        <v>-1.2072434999999999E-2</v>
      </c>
      <c r="F20">
        <v>-1.6311844999999998E-2</v>
      </c>
      <c r="G20">
        <v>1.6311844999999998E-2</v>
      </c>
      <c r="H20">
        <v>1.8952626E-2</v>
      </c>
      <c r="I20">
        <v>1.1616727E-2</v>
      </c>
      <c r="J20">
        <v>0</v>
      </c>
      <c r="K20">
        <v>0</v>
      </c>
      <c r="L20">
        <v>-1</v>
      </c>
      <c r="M20">
        <v>5</v>
      </c>
      <c r="N20">
        <v>0.46928693999999999</v>
      </c>
      <c r="O20">
        <v>1</v>
      </c>
      <c r="P20">
        <v>-5</v>
      </c>
      <c r="Q20">
        <v>6</v>
      </c>
      <c r="R20">
        <v>-222.5</v>
      </c>
      <c r="S20">
        <v>1227.5</v>
      </c>
      <c r="T20">
        <v>6.5</v>
      </c>
      <c r="U20">
        <v>-15</v>
      </c>
      <c r="V20" t="s">
        <v>35</v>
      </c>
      <c r="W20">
        <v>-222.5</v>
      </c>
      <c r="X20">
        <v>1227.5</v>
      </c>
      <c r="Y20">
        <v>-8.5</v>
      </c>
      <c r="Z20">
        <v>1.8952626E-2</v>
      </c>
      <c r="AA20">
        <v>1450</v>
      </c>
      <c r="AB20">
        <v>0</v>
      </c>
      <c r="AC20">
        <v>-8.5</v>
      </c>
      <c r="AD20">
        <v>-5.8620690000000001E-3</v>
      </c>
      <c r="AE20">
        <v>0</v>
      </c>
      <c r="AF20">
        <v>-8.5</v>
      </c>
      <c r="AG20">
        <v>0</v>
      </c>
      <c r="AH20">
        <f t="shared" si="0"/>
        <v>-5.8620689655172415E-3</v>
      </c>
    </row>
    <row r="21" spans="1:34" x14ac:dyDescent="0.25">
      <c r="A21" s="1">
        <v>43495</v>
      </c>
      <c r="B21">
        <v>221</v>
      </c>
      <c r="C21">
        <v>-6.7415729999999998E-3</v>
      </c>
      <c r="D21">
        <v>243</v>
      </c>
      <c r="E21">
        <v>-1.0183299E-2</v>
      </c>
      <c r="F21">
        <v>3.441726E-3</v>
      </c>
      <c r="G21">
        <v>3.441726E-3</v>
      </c>
      <c r="H21">
        <v>1.8407189000000001E-2</v>
      </c>
      <c r="I21">
        <v>1.2792105999999999E-2</v>
      </c>
      <c r="J21">
        <v>1</v>
      </c>
      <c r="K21">
        <v>0</v>
      </c>
      <c r="L21">
        <v>0</v>
      </c>
      <c r="M21">
        <v>5</v>
      </c>
      <c r="N21">
        <v>1.6608915230000001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W21">
        <v>0</v>
      </c>
      <c r="X21">
        <v>0</v>
      </c>
      <c r="Y21">
        <v>0</v>
      </c>
      <c r="Z21">
        <v>1.8407189000000001E-2</v>
      </c>
      <c r="AA21">
        <v>0</v>
      </c>
      <c r="AB21" t="s">
        <v>33</v>
      </c>
      <c r="AC21">
        <v>0</v>
      </c>
      <c r="AD21">
        <v>0</v>
      </c>
      <c r="AE21">
        <v>0</v>
      </c>
      <c r="AF21">
        <v>0</v>
      </c>
      <c r="AG21">
        <v>0</v>
      </c>
      <c r="AH21">
        <f t="shared" si="0"/>
        <v>0</v>
      </c>
    </row>
    <row r="22" spans="1:34" x14ac:dyDescent="0.25">
      <c r="A22" s="1">
        <v>43507</v>
      </c>
      <c r="B22">
        <v>228</v>
      </c>
      <c r="C22">
        <v>3.1674208000000002E-2</v>
      </c>
      <c r="D22">
        <v>259.5</v>
      </c>
      <c r="E22">
        <v>6.7901235000000004E-2</v>
      </c>
      <c r="F22">
        <v>-3.6227026000000002E-2</v>
      </c>
      <c r="G22">
        <v>3.6227026000000002E-2</v>
      </c>
      <c r="H22">
        <v>2.3170194000000002E-2</v>
      </c>
      <c r="I22">
        <v>3.2790182000000001E-2</v>
      </c>
      <c r="J22">
        <v>0</v>
      </c>
      <c r="K22">
        <v>1</v>
      </c>
      <c r="L22">
        <v>1</v>
      </c>
      <c r="M22">
        <v>5</v>
      </c>
      <c r="N22">
        <v>2.4399134409999998</v>
      </c>
      <c r="O22">
        <v>13</v>
      </c>
      <c r="P22">
        <v>-5</v>
      </c>
      <c r="Q22">
        <v>18</v>
      </c>
      <c r="R22">
        <v>-2964</v>
      </c>
      <c r="S22">
        <v>1297.5</v>
      </c>
      <c r="T22">
        <v>0</v>
      </c>
      <c r="U22">
        <v>0</v>
      </c>
      <c r="V22" t="s">
        <v>34</v>
      </c>
      <c r="W22">
        <v>-2964</v>
      </c>
      <c r="X22">
        <v>1297.5</v>
      </c>
      <c r="Y22">
        <v>0</v>
      </c>
      <c r="Z22">
        <v>3.2790182000000001E-2</v>
      </c>
      <c r="AA22">
        <v>4261.5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4261.5</v>
      </c>
      <c r="AH22">
        <f t="shared" si="0"/>
        <v>0</v>
      </c>
    </row>
    <row r="23" spans="1:34" x14ac:dyDescent="0.25">
      <c r="A23" s="1">
        <v>43508</v>
      </c>
      <c r="B23">
        <v>230</v>
      </c>
      <c r="C23">
        <v>8.7719300000000007E-3</v>
      </c>
      <c r="D23">
        <v>257.5</v>
      </c>
      <c r="E23">
        <v>-7.7071290000000001E-3</v>
      </c>
      <c r="F23">
        <v>1.6479059000000001E-2</v>
      </c>
      <c r="G23">
        <v>1.6479059000000001E-2</v>
      </c>
      <c r="H23">
        <v>2.2574179999999999E-2</v>
      </c>
      <c r="I23">
        <v>3.3927176000000003E-2</v>
      </c>
      <c r="J23">
        <v>1</v>
      </c>
      <c r="K23">
        <v>0</v>
      </c>
      <c r="L23">
        <v>-1</v>
      </c>
      <c r="M23">
        <v>5</v>
      </c>
      <c r="N23">
        <v>0.98366423700000005</v>
      </c>
      <c r="O23">
        <v>-13</v>
      </c>
      <c r="P23">
        <v>5</v>
      </c>
      <c r="Q23">
        <v>18</v>
      </c>
      <c r="R23">
        <v>2990</v>
      </c>
      <c r="S23">
        <v>-1287.5</v>
      </c>
      <c r="T23">
        <v>26</v>
      </c>
      <c r="U23">
        <v>10</v>
      </c>
      <c r="V23" t="s">
        <v>35</v>
      </c>
      <c r="W23">
        <v>2990</v>
      </c>
      <c r="X23">
        <v>-1287.5</v>
      </c>
      <c r="Y23">
        <v>36</v>
      </c>
      <c r="Z23">
        <v>3.3927176000000003E-2</v>
      </c>
      <c r="AA23">
        <v>4277.5</v>
      </c>
      <c r="AB23">
        <v>0</v>
      </c>
      <c r="AC23">
        <v>36</v>
      </c>
      <c r="AD23">
        <v>8.4161310000000003E-3</v>
      </c>
      <c r="AE23">
        <v>0</v>
      </c>
      <c r="AF23">
        <v>36</v>
      </c>
      <c r="AG23">
        <v>0</v>
      </c>
      <c r="AH23">
        <f t="shared" si="0"/>
        <v>8.4161309175920518E-3</v>
      </c>
    </row>
    <row r="24" spans="1:34" x14ac:dyDescent="0.25">
      <c r="A24" s="1">
        <v>43509</v>
      </c>
      <c r="B24">
        <v>229</v>
      </c>
      <c r="C24">
        <v>-4.3478259999999999E-3</v>
      </c>
      <c r="D24">
        <v>259</v>
      </c>
      <c r="E24">
        <v>5.8252429999999999E-3</v>
      </c>
      <c r="F24">
        <v>-1.0173069E-2</v>
      </c>
      <c r="G24">
        <v>1.0173069E-2</v>
      </c>
      <c r="H24">
        <v>2.2079588000000001E-2</v>
      </c>
      <c r="I24">
        <v>3.380201E-2</v>
      </c>
      <c r="J24">
        <v>0</v>
      </c>
      <c r="K24">
        <v>0</v>
      </c>
      <c r="L24">
        <v>0</v>
      </c>
      <c r="M24">
        <v>5</v>
      </c>
      <c r="N24">
        <v>1.515326239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W24">
        <v>0</v>
      </c>
      <c r="X24">
        <v>0</v>
      </c>
      <c r="Y24">
        <v>0</v>
      </c>
      <c r="Z24">
        <v>3.380201E-2</v>
      </c>
      <c r="AA24">
        <v>0</v>
      </c>
      <c r="AB24" t="s">
        <v>33</v>
      </c>
      <c r="AC24">
        <v>0</v>
      </c>
      <c r="AD24">
        <v>0</v>
      </c>
      <c r="AE24">
        <v>0</v>
      </c>
      <c r="AF24">
        <v>0</v>
      </c>
      <c r="AG24">
        <v>0</v>
      </c>
      <c r="AH24">
        <f t="shared" si="0"/>
        <v>0</v>
      </c>
    </row>
    <row r="25" spans="1:34" x14ac:dyDescent="0.25">
      <c r="A25" s="1">
        <v>43510</v>
      </c>
      <c r="B25">
        <v>227</v>
      </c>
      <c r="C25">
        <v>-8.7336240000000006E-3</v>
      </c>
      <c r="D25">
        <v>255.5</v>
      </c>
      <c r="E25">
        <v>-1.3513514000000001E-2</v>
      </c>
      <c r="F25">
        <v>4.7798889999999998E-3</v>
      </c>
      <c r="G25">
        <v>4.7798889999999998E-3</v>
      </c>
      <c r="H25">
        <v>1.685058E-2</v>
      </c>
      <c r="I25">
        <v>3.4029348000000001E-2</v>
      </c>
      <c r="J25">
        <v>1</v>
      </c>
      <c r="K25">
        <v>0</v>
      </c>
      <c r="L25">
        <v>0</v>
      </c>
      <c r="M25">
        <v>5</v>
      </c>
      <c r="N25">
        <v>1.741561495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W25">
        <v>0</v>
      </c>
      <c r="X25">
        <v>0</v>
      </c>
      <c r="Y25">
        <v>0</v>
      </c>
      <c r="Z25">
        <v>3.4029348000000001E-2</v>
      </c>
      <c r="AA25">
        <v>0</v>
      </c>
      <c r="AB25" t="s">
        <v>33</v>
      </c>
      <c r="AC25">
        <v>0</v>
      </c>
      <c r="AD25">
        <v>0</v>
      </c>
      <c r="AE25">
        <v>0</v>
      </c>
      <c r="AF25">
        <v>0</v>
      </c>
      <c r="AG25">
        <v>0</v>
      </c>
      <c r="AH25">
        <f t="shared" si="0"/>
        <v>0</v>
      </c>
    </row>
    <row r="26" spans="1:34" x14ac:dyDescent="0.25">
      <c r="A26" s="1">
        <v>43511</v>
      </c>
      <c r="B26">
        <v>227</v>
      </c>
      <c r="C26">
        <v>0</v>
      </c>
      <c r="D26">
        <v>252</v>
      </c>
      <c r="E26">
        <v>-1.369863E-2</v>
      </c>
      <c r="F26">
        <v>1.369863E-2</v>
      </c>
      <c r="G26">
        <v>1.369863E-2</v>
      </c>
      <c r="H26">
        <v>1.6012625999999999E-2</v>
      </c>
      <c r="I26">
        <v>3.4543374000000002E-2</v>
      </c>
      <c r="J26">
        <v>1</v>
      </c>
      <c r="K26">
        <v>0</v>
      </c>
      <c r="L26">
        <v>0</v>
      </c>
      <c r="M26">
        <v>5</v>
      </c>
      <c r="N26" t="s">
        <v>36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W26">
        <v>0</v>
      </c>
      <c r="X26">
        <v>0</v>
      </c>
      <c r="Y26">
        <v>0</v>
      </c>
      <c r="Z26">
        <v>3.4543374000000002E-2</v>
      </c>
      <c r="AA26">
        <v>0</v>
      </c>
      <c r="AB26" t="s">
        <v>33</v>
      </c>
      <c r="AC26">
        <v>0</v>
      </c>
      <c r="AD26">
        <v>0</v>
      </c>
      <c r="AE26">
        <v>0</v>
      </c>
      <c r="AF26">
        <v>0</v>
      </c>
      <c r="AG26">
        <v>0</v>
      </c>
      <c r="AH26">
        <f t="shared" si="0"/>
        <v>0</v>
      </c>
    </row>
    <row r="27" spans="1:34" x14ac:dyDescent="0.25">
      <c r="A27" s="1">
        <v>43514</v>
      </c>
      <c r="B27">
        <v>230</v>
      </c>
      <c r="C27">
        <v>1.3215859E-2</v>
      </c>
      <c r="D27">
        <v>253.5</v>
      </c>
      <c r="E27">
        <v>5.9523809999999996E-3</v>
      </c>
      <c r="F27">
        <v>7.2634780000000003E-3</v>
      </c>
      <c r="G27">
        <v>7.2634780000000003E-3</v>
      </c>
      <c r="H27">
        <v>9.0956160000000008E-3</v>
      </c>
      <c r="I27">
        <v>9.8985410000000003E-3</v>
      </c>
      <c r="J27">
        <v>1</v>
      </c>
      <c r="K27">
        <v>0</v>
      </c>
      <c r="L27">
        <v>0</v>
      </c>
      <c r="M27">
        <v>5</v>
      </c>
      <c r="N27">
        <v>0.49641563100000002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W27">
        <v>0</v>
      </c>
      <c r="X27">
        <v>0</v>
      </c>
      <c r="Y27">
        <v>0</v>
      </c>
      <c r="Z27">
        <v>9.8985410000000003E-3</v>
      </c>
      <c r="AA27">
        <v>0</v>
      </c>
      <c r="AB27" t="s">
        <v>33</v>
      </c>
      <c r="AC27">
        <v>0</v>
      </c>
      <c r="AD27">
        <v>0</v>
      </c>
      <c r="AE27">
        <v>0</v>
      </c>
      <c r="AF27">
        <v>0</v>
      </c>
      <c r="AG27">
        <v>0</v>
      </c>
      <c r="AH27">
        <f t="shared" si="0"/>
        <v>0</v>
      </c>
    </row>
    <row r="28" spans="1:34" x14ac:dyDescent="0.25">
      <c r="A28" s="1">
        <v>43515</v>
      </c>
      <c r="B28">
        <v>229</v>
      </c>
      <c r="C28">
        <v>-4.3478259999999999E-3</v>
      </c>
      <c r="D28">
        <v>250</v>
      </c>
      <c r="E28">
        <v>-1.3806706E-2</v>
      </c>
      <c r="F28">
        <v>9.4588799999999994E-3</v>
      </c>
      <c r="G28">
        <v>9.4588799999999994E-3</v>
      </c>
      <c r="H28">
        <v>8.4438099999999995E-3</v>
      </c>
      <c r="I28">
        <v>1.0715025E-2</v>
      </c>
      <c r="J28">
        <v>1</v>
      </c>
      <c r="K28">
        <v>0</v>
      </c>
      <c r="L28">
        <v>0</v>
      </c>
      <c r="M28">
        <v>5</v>
      </c>
      <c r="N28">
        <v>3.4667493519999999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W28">
        <v>0</v>
      </c>
      <c r="X28">
        <v>0</v>
      </c>
      <c r="Y28">
        <v>0</v>
      </c>
      <c r="Z28">
        <v>1.0715025E-2</v>
      </c>
      <c r="AA28">
        <v>0</v>
      </c>
      <c r="AB28" t="s">
        <v>33</v>
      </c>
      <c r="AC28">
        <v>0</v>
      </c>
      <c r="AD28">
        <v>0</v>
      </c>
      <c r="AE28">
        <v>0</v>
      </c>
      <c r="AF28">
        <v>0</v>
      </c>
      <c r="AG28">
        <v>0</v>
      </c>
      <c r="AH28">
        <f t="shared" si="0"/>
        <v>0</v>
      </c>
    </row>
    <row r="29" spans="1:34" x14ac:dyDescent="0.25">
      <c r="A29" s="1">
        <v>43516</v>
      </c>
      <c r="B29">
        <v>234.5</v>
      </c>
      <c r="C29">
        <v>2.4017467000000001E-2</v>
      </c>
      <c r="D29">
        <v>255.5</v>
      </c>
      <c r="E29">
        <v>2.1999999999999999E-2</v>
      </c>
      <c r="F29">
        <v>2.0174669999999998E-3</v>
      </c>
      <c r="G29">
        <v>2.0174669999999998E-3</v>
      </c>
      <c r="H29">
        <v>1.3509393E-2</v>
      </c>
      <c r="I29">
        <v>1.6172329999999999E-2</v>
      </c>
      <c r="J29">
        <v>1</v>
      </c>
      <c r="K29">
        <v>0</v>
      </c>
      <c r="L29">
        <v>0</v>
      </c>
      <c r="M29">
        <v>5</v>
      </c>
      <c r="N29">
        <v>0.99802985099999997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W29">
        <v>0</v>
      </c>
      <c r="X29">
        <v>0</v>
      </c>
      <c r="Y29">
        <v>0</v>
      </c>
      <c r="Z29">
        <v>1.6172329999999999E-2</v>
      </c>
      <c r="AA29">
        <v>0</v>
      </c>
      <c r="AB29" t="s">
        <v>33</v>
      </c>
      <c r="AC29">
        <v>0</v>
      </c>
      <c r="AD29">
        <v>0</v>
      </c>
      <c r="AE29">
        <v>0</v>
      </c>
      <c r="AF29">
        <v>0</v>
      </c>
      <c r="AG29">
        <v>0</v>
      </c>
      <c r="AH29">
        <f t="shared" si="0"/>
        <v>0</v>
      </c>
    </row>
    <row r="30" spans="1:34" x14ac:dyDescent="0.25">
      <c r="A30" s="1">
        <v>43517</v>
      </c>
      <c r="B30">
        <v>236.5</v>
      </c>
      <c r="C30">
        <v>8.5287850000000005E-3</v>
      </c>
      <c r="D30">
        <v>259</v>
      </c>
      <c r="E30">
        <v>1.369863E-2</v>
      </c>
      <c r="F30">
        <v>-5.1698450000000002E-3</v>
      </c>
      <c r="G30">
        <v>5.1698450000000002E-3</v>
      </c>
      <c r="H30">
        <v>1.1181600999999999E-2</v>
      </c>
      <c r="I30">
        <v>1.6165866000000001E-2</v>
      </c>
      <c r="J30">
        <v>0</v>
      </c>
      <c r="K30">
        <v>0</v>
      </c>
      <c r="L30">
        <v>0</v>
      </c>
      <c r="M30">
        <v>5</v>
      </c>
      <c r="N30">
        <v>1.75897072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W30">
        <v>0</v>
      </c>
      <c r="X30">
        <v>0</v>
      </c>
      <c r="Y30">
        <v>0</v>
      </c>
      <c r="Z30">
        <v>1.6165866000000001E-2</v>
      </c>
      <c r="AA30">
        <v>0</v>
      </c>
      <c r="AB30" t="s">
        <v>33</v>
      </c>
      <c r="AC30">
        <v>0</v>
      </c>
      <c r="AD30">
        <v>0</v>
      </c>
      <c r="AE30">
        <v>0</v>
      </c>
      <c r="AF30">
        <v>0</v>
      </c>
      <c r="AG30">
        <v>0</v>
      </c>
      <c r="AH30">
        <f t="shared" si="0"/>
        <v>0</v>
      </c>
    </row>
    <row r="31" spans="1:34" x14ac:dyDescent="0.25">
      <c r="A31" s="1">
        <v>43518</v>
      </c>
      <c r="B31">
        <v>236.5</v>
      </c>
      <c r="C31">
        <v>0</v>
      </c>
      <c r="D31">
        <v>264</v>
      </c>
      <c r="E31">
        <v>1.9305019E-2</v>
      </c>
      <c r="F31">
        <v>-1.9305019E-2</v>
      </c>
      <c r="G31">
        <v>1.9305019E-2</v>
      </c>
      <c r="H31">
        <v>1.1181600999999999E-2</v>
      </c>
      <c r="I31">
        <v>1.4368198E-2</v>
      </c>
      <c r="J31">
        <v>0</v>
      </c>
      <c r="K31">
        <v>0</v>
      </c>
      <c r="L31">
        <v>0</v>
      </c>
      <c r="M31">
        <v>5</v>
      </c>
      <c r="N31" t="s">
        <v>36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W31">
        <v>0</v>
      </c>
      <c r="X31">
        <v>0</v>
      </c>
      <c r="Y31">
        <v>0</v>
      </c>
      <c r="Z31">
        <v>1.4368198E-2</v>
      </c>
      <c r="AA31">
        <v>0</v>
      </c>
      <c r="AB31" t="s">
        <v>33</v>
      </c>
      <c r="AC31">
        <v>0</v>
      </c>
      <c r="AD31">
        <v>0</v>
      </c>
      <c r="AE31">
        <v>0</v>
      </c>
      <c r="AF31">
        <v>0</v>
      </c>
      <c r="AG31">
        <v>0</v>
      </c>
      <c r="AH31">
        <f t="shared" si="0"/>
        <v>0</v>
      </c>
    </row>
    <row r="32" spans="1:34" x14ac:dyDescent="0.25">
      <c r="A32" s="1">
        <v>43521</v>
      </c>
      <c r="B32">
        <v>238</v>
      </c>
      <c r="C32">
        <v>6.3424950000000001E-3</v>
      </c>
      <c r="D32">
        <v>282.5</v>
      </c>
      <c r="E32">
        <v>7.0075758000000002E-2</v>
      </c>
      <c r="F32">
        <v>-6.3733262999999998E-2</v>
      </c>
      <c r="G32">
        <v>6.3733262999999998E-2</v>
      </c>
      <c r="H32">
        <v>1.0840834000000001E-2</v>
      </c>
      <c r="I32">
        <v>3.0287168999999999E-2</v>
      </c>
      <c r="J32">
        <v>0</v>
      </c>
      <c r="K32">
        <v>1</v>
      </c>
      <c r="L32">
        <v>1</v>
      </c>
      <c r="M32">
        <v>5</v>
      </c>
      <c r="N32">
        <v>13.11442285</v>
      </c>
      <c r="O32">
        <v>66</v>
      </c>
      <c r="P32">
        <v>-5</v>
      </c>
      <c r="Q32">
        <v>71</v>
      </c>
      <c r="R32">
        <v>-15708</v>
      </c>
      <c r="S32">
        <v>1412.5</v>
      </c>
      <c r="T32">
        <v>0</v>
      </c>
      <c r="U32">
        <v>0</v>
      </c>
      <c r="V32" t="s">
        <v>34</v>
      </c>
      <c r="W32">
        <v>-15708</v>
      </c>
      <c r="X32">
        <v>1412.5</v>
      </c>
      <c r="Y32">
        <v>0</v>
      </c>
      <c r="Z32">
        <v>3.0287168999999999E-2</v>
      </c>
      <c r="AA32">
        <v>17120.5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17120.5</v>
      </c>
      <c r="AH32">
        <f t="shared" si="0"/>
        <v>0</v>
      </c>
    </row>
    <row r="33" spans="1:34" x14ac:dyDescent="0.25">
      <c r="A33" s="1">
        <v>43522</v>
      </c>
      <c r="B33">
        <v>239.5</v>
      </c>
      <c r="C33">
        <v>6.3025210000000002E-3</v>
      </c>
      <c r="D33">
        <v>276.5</v>
      </c>
      <c r="E33">
        <v>-2.1238937999999999E-2</v>
      </c>
      <c r="F33">
        <v>2.7541459000000001E-2</v>
      </c>
      <c r="G33">
        <v>2.7541459000000001E-2</v>
      </c>
      <c r="H33">
        <v>8.9593220000000005E-3</v>
      </c>
      <c r="I33">
        <v>3.2593986999999998E-2</v>
      </c>
      <c r="J33">
        <v>1</v>
      </c>
      <c r="K33">
        <v>0</v>
      </c>
      <c r="L33">
        <v>-1</v>
      </c>
      <c r="M33">
        <v>5</v>
      </c>
      <c r="N33">
        <v>3.890524138</v>
      </c>
      <c r="O33">
        <v>-66</v>
      </c>
      <c r="P33">
        <v>5</v>
      </c>
      <c r="Q33">
        <v>71</v>
      </c>
      <c r="R33">
        <v>15807</v>
      </c>
      <c r="S33">
        <v>-1382.5</v>
      </c>
      <c r="T33">
        <v>99</v>
      </c>
      <c r="U33">
        <v>30</v>
      </c>
      <c r="V33" t="s">
        <v>35</v>
      </c>
      <c r="W33">
        <v>15807</v>
      </c>
      <c r="X33">
        <v>-1382.5</v>
      </c>
      <c r="Y33">
        <v>129</v>
      </c>
      <c r="Z33">
        <v>3.2593986999999998E-2</v>
      </c>
      <c r="AA33">
        <v>17189.5</v>
      </c>
      <c r="AB33">
        <v>0</v>
      </c>
      <c r="AC33">
        <v>129</v>
      </c>
      <c r="AD33">
        <v>7.5045809999999998E-3</v>
      </c>
      <c r="AE33">
        <v>0</v>
      </c>
      <c r="AF33">
        <v>129</v>
      </c>
      <c r="AG33">
        <v>0</v>
      </c>
      <c r="AH33">
        <f t="shared" si="0"/>
        <v>7.5045812850868263E-3</v>
      </c>
    </row>
    <row r="34" spans="1:34" x14ac:dyDescent="0.25">
      <c r="A34" s="1">
        <v>43523</v>
      </c>
      <c r="B34">
        <v>239</v>
      </c>
      <c r="C34">
        <v>-2.0876829999999999E-3</v>
      </c>
      <c r="D34">
        <v>280</v>
      </c>
      <c r="E34">
        <v>1.2658228000000001E-2</v>
      </c>
      <c r="F34">
        <v>-1.4745911E-2</v>
      </c>
      <c r="G34">
        <v>1.4745911E-2</v>
      </c>
      <c r="H34">
        <v>4.5878000000000004E-3</v>
      </c>
      <c r="I34">
        <v>3.2772970999999998E-2</v>
      </c>
      <c r="J34">
        <v>0</v>
      </c>
      <c r="K34">
        <v>0</v>
      </c>
      <c r="L34">
        <v>0</v>
      </c>
      <c r="M34">
        <v>5</v>
      </c>
      <c r="N34">
        <v>7.1034373180000001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W34">
        <v>0</v>
      </c>
      <c r="X34">
        <v>0</v>
      </c>
      <c r="Y34">
        <v>0</v>
      </c>
      <c r="Z34">
        <v>3.2772970999999998E-2</v>
      </c>
      <c r="AA34">
        <v>0</v>
      </c>
      <c r="AB34" t="s">
        <v>33</v>
      </c>
      <c r="AC34">
        <v>0</v>
      </c>
      <c r="AD34">
        <v>0</v>
      </c>
      <c r="AE34">
        <v>0</v>
      </c>
      <c r="AF34">
        <v>0</v>
      </c>
      <c r="AG34">
        <v>0</v>
      </c>
      <c r="AH34">
        <f t="shared" si="0"/>
        <v>0</v>
      </c>
    </row>
    <row r="35" spans="1:34" x14ac:dyDescent="0.25">
      <c r="A35" s="1">
        <v>43528</v>
      </c>
      <c r="B35">
        <v>235.5</v>
      </c>
      <c r="C35">
        <v>-1.4644351E-2</v>
      </c>
      <c r="D35">
        <v>277</v>
      </c>
      <c r="E35">
        <v>-1.0714286E-2</v>
      </c>
      <c r="F35">
        <v>-3.9300660000000003E-3</v>
      </c>
      <c r="G35">
        <v>3.9300660000000003E-3</v>
      </c>
      <c r="H35">
        <v>8.5939469999999994E-3</v>
      </c>
      <c r="I35">
        <v>3.5450710000000003E-2</v>
      </c>
      <c r="J35">
        <v>0</v>
      </c>
      <c r="K35">
        <v>0</v>
      </c>
      <c r="L35">
        <v>0</v>
      </c>
      <c r="M35">
        <v>5</v>
      </c>
      <c r="N35">
        <v>0.86056154900000004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W35">
        <v>0</v>
      </c>
      <c r="X35">
        <v>0</v>
      </c>
      <c r="Y35">
        <v>0</v>
      </c>
      <c r="Z35">
        <v>3.5450710000000003E-2</v>
      </c>
      <c r="AA35">
        <v>0</v>
      </c>
      <c r="AB35" t="s">
        <v>33</v>
      </c>
      <c r="AC35">
        <v>0</v>
      </c>
      <c r="AD35">
        <v>0</v>
      </c>
      <c r="AE35">
        <v>0</v>
      </c>
      <c r="AF35">
        <v>0</v>
      </c>
      <c r="AG35">
        <v>0</v>
      </c>
      <c r="AH35">
        <f t="shared" si="0"/>
        <v>0</v>
      </c>
    </row>
    <row r="36" spans="1:34" x14ac:dyDescent="0.25">
      <c r="A36" s="1">
        <v>43529</v>
      </c>
      <c r="B36">
        <v>233</v>
      </c>
      <c r="C36">
        <v>-1.0615711E-2</v>
      </c>
      <c r="D36">
        <v>273</v>
      </c>
      <c r="E36">
        <v>-1.4440433000000001E-2</v>
      </c>
      <c r="F36">
        <v>3.824722E-3</v>
      </c>
      <c r="G36">
        <v>3.824722E-3</v>
      </c>
      <c r="H36">
        <v>9.5945779999999994E-3</v>
      </c>
      <c r="I36">
        <v>3.7353491000000003E-2</v>
      </c>
      <c r="J36">
        <v>1</v>
      </c>
      <c r="K36">
        <v>0</v>
      </c>
      <c r="L36">
        <v>0</v>
      </c>
      <c r="M36">
        <v>5</v>
      </c>
      <c r="N36">
        <v>1.5938147840000001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W36">
        <v>0</v>
      </c>
      <c r="X36">
        <v>0</v>
      </c>
      <c r="Y36">
        <v>0</v>
      </c>
      <c r="Z36">
        <v>3.7353491000000003E-2</v>
      </c>
      <c r="AA36">
        <v>0</v>
      </c>
      <c r="AB36" t="s">
        <v>33</v>
      </c>
      <c r="AC36">
        <v>0</v>
      </c>
      <c r="AD36">
        <v>0</v>
      </c>
      <c r="AE36">
        <v>0</v>
      </c>
      <c r="AF36">
        <v>0</v>
      </c>
      <c r="AG36">
        <v>0</v>
      </c>
      <c r="AH36">
        <f t="shared" si="0"/>
        <v>0</v>
      </c>
    </row>
    <row r="37" spans="1:34" x14ac:dyDescent="0.25">
      <c r="A37" s="1">
        <v>43530</v>
      </c>
      <c r="B37">
        <v>234</v>
      </c>
      <c r="C37">
        <v>4.2918449999999999E-3</v>
      </c>
      <c r="D37">
        <v>280</v>
      </c>
      <c r="E37">
        <v>2.5641026000000001E-2</v>
      </c>
      <c r="F37">
        <v>-2.1349179999999999E-2</v>
      </c>
      <c r="G37">
        <v>2.1349179999999999E-2</v>
      </c>
      <c r="H37">
        <v>9.1312010000000002E-3</v>
      </c>
      <c r="I37">
        <v>1.9868338999999999E-2</v>
      </c>
      <c r="J37">
        <v>0</v>
      </c>
      <c r="K37">
        <v>1</v>
      </c>
      <c r="L37">
        <v>1</v>
      </c>
      <c r="M37">
        <v>5</v>
      </c>
      <c r="N37">
        <v>7.1488056100000001</v>
      </c>
      <c r="O37">
        <v>36</v>
      </c>
      <c r="P37">
        <v>-5</v>
      </c>
      <c r="Q37">
        <v>41</v>
      </c>
      <c r="R37">
        <v>-8424</v>
      </c>
      <c r="S37">
        <v>1400</v>
      </c>
      <c r="T37">
        <v>0</v>
      </c>
      <c r="U37">
        <v>0</v>
      </c>
      <c r="V37" t="s">
        <v>34</v>
      </c>
      <c r="W37">
        <v>-8424</v>
      </c>
      <c r="X37">
        <v>1400</v>
      </c>
      <c r="Y37">
        <v>0</v>
      </c>
      <c r="Z37">
        <v>1.9868338999999999E-2</v>
      </c>
      <c r="AA37">
        <v>9824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9824</v>
      </c>
      <c r="AH37">
        <f t="shared" si="0"/>
        <v>0</v>
      </c>
    </row>
    <row r="38" spans="1:34" x14ac:dyDescent="0.25">
      <c r="A38" s="1">
        <v>43531</v>
      </c>
      <c r="B38">
        <v>234</v>
      </c>
      <c r="C38">
        <v>0</v>
      </c>
      <c r="D38">
        <v>274</v>
      </c>
      <c r="E38">
        <v>-2.1428571E-2</v>
      </c>
      <c r="F38">
        <v>2.1428571E-2</v>
      </c>
      <c r="G38">
        <v>2.1428571E-2</v>
      </c>
      <c r="H38">
        <v>7.8040660000000001E-3</v>
      </c>
      <c r="I38">
        <v>1.991528E-2</v>
      </c>
      <c r="J38">
        <v>1</v>
      </c>
      <c r="K38">
        <v>0</v>
      </c>
      <c r="L38">
        <v>-1</v>
      </c>
      <c r="M38">
        <v>5</v>
      </c>
      <c r="N38" t="s">
        <v>36</v>
      </c>
      <c r="O38">
        <v>-36</v>
      </c>
      <c r="P38">
        <v>5</v>
      </c>
      <c r="Q38">
        <v>41</v>
      </c>
      <c r="R38">
        <v>8424</v>
      </c>
      <c r="S38">
        <v>-1370</v>
      </c>
      <c r="T38">
        <v>0</v>
      </c>
      <c r="U38">
        <v>30</v>
      </c>
      <c r="V38" t="s">
        <v>35</v>
      </c>
      <c r="W38">
        <v>8424</v>
      </c>
      <c r="X38">
        <v>-1370</v>
      </c>
      <c r="Y38">
        <v>30</v>
      </c>
      <c r="Z38">
        <v>1.991528E-2</v>
      </c>
      <c r="AA38">
        <v>9794</v>
      </c>
      <c r="AB38">
        <v>0</v>
      </c>
      <c r="AC38">
        <v>30</v>
      </c>
      <c r="AD38">
        <v>3.0631E-3</v>
      </c>
      <c r="AE38">
        <v>0</v>
      </c>
      <c r="AF38">
        <v>30</v>
      </c>
      <c r="AG38">
        <v>0</v>
      </c>
      <c r="AH38">
        <f t="shared" si="0"/>
        <v>3.06309985705534E-3</v>
      </c>
    </row>
    <row r="39" spans="1:34" x14ac:dyDescent="0.25">
      <c r="A39" s="1">
        <v>43532</v>
      </c>
      <c r="B39">
        <v>230</v>
      </c>
      <c r="C39">
        <v>-1.7094017E-2</v>
      </c>
      <c r="D39">
        <v>267.5</v>
      </c>
      <c r="E39">
        <v>-2.3722627999999999E-2</v>
      </c>
      <c r="F39">
        <v>6.6286110000000004E-3</v>
      </c>
      <c r="G39">
        <v>6.6286110000000004E-3</v>
      </c>
      <c r="H39">
        <v>9.3277670000000007E-3</v>
      </c>
      <c r="I39">
        <v>2.0023363999999998E-2</v>
      </c>
      <c r="J39">
        <v>1</v>
      </c>
      <c r="K39">
        <v>0</v>
      </c>
      <c r="L39">
        <v>0</v>
      </c>
      <c r="M39">
        <v>5</v>
      </c>
      <c r="N39">
        <v>1.614041177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W39">
        <v>0</v>
      </c>
      <c r="X39">
        <v>0</v>
      </c>
      <c r="Y39">
        <v>0</v>
      </c>
      <c r="Z39">
        <v>2.0023363999999998E-2</v>
      </c>
      <c r="AA39">
        <v>0</v>
      </c>
      <c r="AB39" t="s">
        <v>33</v>
      </c>
      <c r="AC39">
        <v>0</v>
      </c>
      <c r="AD39">
        <v>0</v>
      </c>
      <c r="AE39">
        <v>0</v>
      </c>
      <c r="AF39">
        <v>0</v>
      </c>
      <c r="AG39">
        <v>0</v>
      </c>
      <c r="AH39">
        <f t="shared" si="0"/>
        <v>0</v>
      </c>
    </row>
    <row r="40" spans="1:34" x14ac:dyDescent="0.25">
      <c r="A40" s="1">
        <v>43535</v>
      </c>
      <c r="B40">
        <v>230.5</v>
      </c>
      <c r="C40">
        <v>2.173913E-3</v>
      </c>
      <c r="D40">
        <v>270</v>
      </c>
      <c r="E40">
        <v>9.3457939999999993E-3</v>
      </c>
      <c r="F40">
        <v>-7.1718809999999997E-3</v>
      </c>
      <c r="G40">
        <v>7.1718809999999997E-3</v>
      </c>
      <c r="H40">
        <v>9.1894409999999996E-3</v>
      </c>
      <c r="I40">
        <v>2.1530209000000002E-2</v>
      </c>
      <c r="J40">
        <v>0</v>
      </c>
      <c r="K40">
        <v>0</v>
      </c>
      <c r="L40">
        <v>0</v>
      </c>
      <c r="M40">
        <v>5</v>
      </c>
      <c r="N40">
        <v>5.0357816209999999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W40">
        <v>0</v>
      </c>
      <c r="X40">
        <v>0</v>
      </c>
      <c r="Y40">
        <v>0</v>
      </c>
      <c r="Z40">
        <v>2.1530209000000002E-2</v>
      </c>
      <c r="AA40">
        <v>0</v>
      </c>
      <c r="AB40" t="s">
        <v>33</v>
      </c>
      <c r="AC40">
        <v>0</v>
      </c>
      <c r="AD40">
        <v>0</v>
      </c>
      <c r="AE40">
        <v>0</v>
      </c>
      <c r="AF40">
        <v>0</v>
      </c>
      <c r="AG40">
        <v>0</v>
      </c>
      <c r="AH40">
        <f t="shared" si="0"/>
        <v>0</v>
      </c>
    </row>
    <row r="41" spans="1:34" x14ac:dyDescent="0.25">
      <c r="A41" s="1">
        <v>43536</v>
      </c>
      <c r="B41">
        <v>235.5</v>
      </c>
      <c r="C41">
        <v>2.1691973999999999E-2</v>
      </c>
      <c r="D41">
        <v>270.5</v>
      </c>
      <c r="E41">
        <v>1.851852E-3</v>
      </c>
      <c r="F41">
        <v>1.9840122000000002E-2</v>
      </c>
      <c r="G41">
        <v>1.9840122000000002E-2</v>
      </c>
      <c r="H41">
        <v>1.3796846E-2</v>
      </c>
      <c r="I41">
        <v>2.0954489999999999E-2</v>
      </c>
      <c r="J41">
        <v>1</v>
      </c>
      <c r="K41">
        <v>0</v>
      </c>
      <c r="L41">
        <v>0</v>
      </c>
      <c r="M41">
        <v>5</v>
      </c>
      <c r="N41">
        <v>9.8058111000000003E-2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W41">
        <v>0</v>
      </c>
      <c r="X41">
        <v>0</v>
      </c>
      <c r="Y41">
        <v>0</v>
      </c>
      <c r="Z41">
        <v>2.0954489999999999E-2</v>
      </c>
      <c r="AA41">
        <v>0</v>
      </c>
      <c r="AB41" t="s">
        <v>33</v>
      </c>
      <c r="AC41">
        <v>0</v>
      </c>
      <c r="AD41">
        <v>0</v>
      </c>
      <c r="AE41">
        <v>0</v>
      </c>
      <c r="AF41">
        <v>0</v>
      </c>
      <c r="AG41">
        <v>0</v>
      </c>
      <c r="AH41">
        <f t="shared" si="0"/>
        <v>0</v>
      </c>
    </row>
    <row r="42" spans="1:34" x14ac:dyDescent="0.25">
      <c r="A42" s="1">
        <v>43537</v>
      </c>
      <c r="B42">
        <v>237</v>
      </c>
      <c r="C42">
        <v>6.3694270000000004E-3</v>
      </c>
      <c r="D42">
        <v>273</v>
      </c>
      <c r="E42">
        <v>9.2421440000000007E-3</v>
      </c>
      <c r="F42">
        <v>-2.8727169999999999E-3</v>
      </c>
      <c r="G42">
        <v>2.8727169999999999E-3</v>
      </c>
      <c r="H42">
        <v>1.3905969000000001E-2</v>
      </c>
      <c r="I42">
        <v>1.6401269E-2</v>
      </c>
      <c r="J42">
        <v>0</v>
      </c>
      <c r="K42">
        <v>0</v>
      </c>
      <c r="L42">
        <v>0</v>
      </c>
      <c r="M42">
        <v>5</v>
      </c>
      <c r="N42">
        <v>1.6714242260000001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W42">
        <v>0</v>
      </c>
      <c r="X42">
        <v>0</v>
      </c>
      <c r="Y42">
        <v>0</v>
      </c>
      <c r="Z42">
        <v>1.6401269E-2</v>
      </c>
      <c r="AA42">
        <v>0</v>
      </c>
      <c r="AB42" t="s">
        <v>33</v>
      </c>
      <c r="AC42">
        <v>0</v>
      </c>
      <c r="AD42">
        <v>0</v>
      </c>
      <c r="AE42">
        <v>0</v>
      </c>
      <c r="AF42">
        <v>0</v>
      </c>
      <c r="AG42">
        <v>0</v>
      </c>
      <c r="AH42">
        <f t="shared" si="0"/>
        <v>0</v>
      </c>
    </row>
    <row r="43" spans="1:34" x14ac:dyDescent="0.25">
      <c r="A43" s="1">
        <v>43538</v>
      </c>
      <c r="B43">
        <v>234.5</v>
      </c>
      <c r="C43">
        <v>-1.0548523000000001E-2</v>
      </c>
      <c r="D43">
        <v>272.5</v>
      </c>
      <c r="E43">
        <v>-1.831502E-3</v>
      </c>
      <c r="F43">
        <v>-8.7170210000000001E-3</v>
      </c>
      <c r="G43">
        <v>8.7170210000000001E-3</v>
      </c>
      <c r="H43">
        <v>1.5149006E-2</v>
      </c>
      <c r="I43">
        <v>1.3574578E-2</v>
      </c>
      <c r="J43">
        <v>0</v>
      </c>
      <c r="K43">
        <v>0</v>
      </c>
      <c r="L43">
        <v>0</v>
      </c>
      <c r="M43">
        <v>5</v>
      </c>
      <c r="N43">
        <v>0.201761991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W43">
        <v>0</v>
      </c>
      <c r="X43">
        <v>0</v>
      </c>
      <c r="Y43">
        <v>0</v>
      </c>
      <c r="Z43">
        <v>1.5149006E-2</v>
      </c>
      <c r="AA43">
        <v>0</v>
      </c>
      <c r="AB43" t="s">
        <v>33</v>
      </c>
      <c r="AC43">
        <v>0</v>
      </c>
      <c r="AD43">
        <v>0</v>
      </c>
      <c r="AE43">
        <v>0</v>
      </c>
      <c r="AF43">
        <v>0</v>
      </c>
      <c r="AG43">
        <v>0</v>
      </c>
      <c r="AH43">
        <f t="shared" si="0"/>
        <v>0</v>
      </c>
    </row>
    <row r="44" spans="1:34" x14ac:dyDescent="0.25">
      <c r="A44" s="1">
        <v>43539</v>
      </c>
      <c r="B44">
        <v>239</v>
      </c>
      <c r="C44">
        <v>1.9189765000000001E-2</v>
      </c>
      <c r="D44">
        <v>276</v>
      </c>
      <c r="E44">
        <v>1.2844037000000001E-2</v>
      </c>
      <c r="F44">
        <v>6.3457289999999996E-3</v>
      </c>
      <c r="G44">
        <v>6.3457289999999996E-3</v>
      </c>
      <c r="H44">
        <v>1.3163190999999999E-2</v>
      </c>
      <c r="I44">
        <v>6.0552540000000004E-3</v>
      </c>
      <c r="J44">
        <v>1</v>
      </c>
      <c r="K44">
        <v>0</v>
      </c>
      <c r="L44">
        <v>0</v>
      </c>
      <c r="M44">
        <v>5</v>
      </c>
      <c r="N44">
        <v>0.77293513999999996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W44">
        <v>0</v>
      </c>
      <c r="X44">
        <v>0</v>
      </c>
      <c r="Y44">
        <v>0</v>
      </c>
      <c r="Z44">
        <v>1.3163190999999999E-2</v>
      </c>
      <c r="AA44">
        <v>0</v>
      </c>
      <c r="AB44" t="s">
        <v>33</v>
      </c>
      <c r="AC44">
        <v>0</v>
      </c>
      <c r="AD44">
        <v>0</v>
      </c>
      <c r="AE44">
        <v>0</v>
      </c>
      <c r="AF44">
        <v>0</v>
      </c>
      <c r="AG44">
        <v>0</v>
      </c>
      <c r="AH44">
        <f t="shared" si="0"/>
        <v>0</v>
      </c>
    </row>
    <row r="45" spans="1:34" x14ac:dyDescent="0.25">
      <c r="A45" s="1">
        <v>43542</v>
      </c>
      <c r="B45">
        <v>241</v>
      </c>
      <c r="C45">
        <v>8.3682010000000005E-3</v>
      </c>
      <c r="D45">
        <v>278</v>
      </c>
      <c r="E45">
        <v>7.246377E-3</v>
      </c>
      <c r="F45">
        <v>1.121824E-3</v>
      </c>
      <c r="G45">
        <v>1.121824E-3</v>
      </c>
      <c r="H45">
        <v>1.279043E-2</v>
      </c>
      <c r="I45">
        <v>5.8600680000000004E-3</v>
      </c>
      <c r="J45">
        <v>1</v>
      </c>
      <c r="K45">
        <v>0</v>
      </c>
      <c r="L45">
        <v>0</v>
      </c>
      <c r="M45">
        <v>5</v>
      </c>
      <c r="N45">
        <v>0.99888748599999999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W45">
        <v>0</v>
      </c>
      <c r="X45">
        <v>0</v>
      </c>
      <c r="Y45">
        <v>0</v>
      </c>
      <c r="Z45">
        <v>1.279043E-2</v>
      </c>
      <c r="AA45">
        <v>0</v>
      </c>
      <c r="AB45" t="s">
        <v>33</v>
      </c>
      <c r="AC45">
        <v>0</v>
      </c>
      <c r="AD45">
        <v>0</v>
      </c>
      <c r="AE45">
        <v>0</v>
      </c>
      <c r="AF45">
        <v>0</v>
      </c>
      <c r="AG45">
        <v>0</v>
      </c>
      <c r="AH45">
        <f t="shared" si="0"/>
        <v>0</v>
      </c>
    </row>
    <row r="46" spans="1:34" x14ac:dyDescent="0.25">
      <c r="A46" s="1">
        <v>43543</v>
      </c>
      <c r="B46">
        <v>240.5</v>
      </c>
      <c r="C46">
        <v>-2.0746889999999998E-3</v>
      </c>
      <c r="D46">
        <v>275.5</v>
      </c>
      <c r="E46">
        <v>-8.9928060000000008E-3</v>
      </c>
      <c r="F46">
        <v>6.9181169999999997E-3</v>
      </c>
      <c r="G46">
        <v>6.9181169999999997E-3</v>
      </c>
      <c r="H46">
        <v>1.1221024E-2</v>
      </c>
      <c r="I46">
        <v>8.9248299999999999E-3</v>
      </c>
      <c r="J46">
        <v>1</v>
      </c>
      <c r="K46">
        <v>0</v>
      </c>
      <c r="L46">
        <v>0</v>
      </c>
      <c r="M46">
        <v>5</v>
      </c>
      <c r="N46">
        <v>4.9653375009999996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W46">
        <v>0</v>
      </c>
      <c r="X46">
        <v>0</v>
      </c>
      <c r="Y46">
        <v>0</v>
      </c>
      <c r="Z46">
        <v>1.1221024E-2</v>
      </c>
      <c r="AA46">
        <v>0</v>
      </c>
      <c r="AB46" t="s">
        <v>33</v>
      </c>
      <c r="AC46">
        <v>0</v>
      </c>
      <c r="AD46">
        <v>0</v>
      </c>
      <c r="AE46">
        <v>0</v>
      </c>
      <c r="AF46">
        <v>0</v>
      </c>
      <c r="AG46">
        <v>0</v>
      </c>
      <c r="AH46">
        <f t="shared" si="0"/>
        <v>0</v>
      </c>
    </row>
    <row r="47" spans="1:34" x14ac:dyDescent="0.25">
      <c r="A47" s="1">
        <v>43544</v>
      </c>
      <c r="B47">
        <v>242</v>
      </c>
      <c r="C47">
        <v>6.2370059999999998E-3</v>
      </c>
      <c r="D47">
        <v>274.5</v>
      </c>
      <c r="E47">
        <v>-3.6297640000000002E-3</v>
      </c>
      <c r="F47">
        <v>9.8667700000000004E-3</v>
      </c>
      <c r="G47">
        <v>9.8667700000000004E-3</v>
      </c>
      <c r="H47">
        <v>1.1214958000000001E-2</v>
      </c>
      <c r="I47">
        <v>8.7824500000000007E-3</v>
      </c>
      <c r="J47">
        <v>1</v>
      </c>
      <c r="K47">
        <v>0</v>
      </c>
      <c r="L47">
        <v>0</v>
      </c>
      <c r="M47">
        <v>5</v>
      </c>
      <c r="N47">
        <v>0.66012959199999999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Z47">
        <v>1.1214958000000001E-2</v>
      </c>
      <c r="AA47">
        <v>0</v>
      </c>
      <c r="AB47" t="s">
        <v>33</v>
      </c>
      <c r="AC47">
        <v>0</v>
      </c>
      <c r="AD47">
        <v>0</v>
      </c>
      <c r="AE47">
        <v>0</v>
      </c>
      <c r="AF47">
        <v>0</v>
      </c>
      <c r="AG47">
        <v>0</v>
      </c>
      <c r="AH47">
        <f t="shared" si="0"/>
        <v>0</v>
      </c>
    </row>
    <row r="48" spans="1:34" x14ac:dyDescent="0.25">
      <c r="A48" s="1">
        <v>43545</v>
      </c>
      <c r="B48">
        <v>245.5</v>
      </c>
      <c r="C48">
        <v>1.446281E-2</v>
      </c>
      <c r="D48">
        <v>277.5</v>
      </c>
      <c r="E48">
        <v>1.0928962E-2</v>
      </c>
      <c r="F48">
        <v>3.533848E-3</v>
      </c>
      <c r="G48">
        <v>3.533848E-3</v>
      </c>
      <c r="H48">
        <v>8.1252029999999992E-3</v>
      </c>
      <c r="I48">
        <v>9.5299359999999993E-3</v>
      </c>
      <c r="J48">
        <v>1</v>
      </c>
      <c r="K48">
        <v>0</v>
      </c>
      <c r="L48">
        <v>0</v>
      </c>
      <c r="M48">
        <v>5</v>
      </c>
      <c r="N48">
        <v>0.85415702800000004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W48">
        <v>0</v>
      </c>
      <c r="X48">
        <v>0</v>
      </c>
      <c r="Y48">
        <v>0</v>
      </c>
      <c r="Z48">
        <v>9.5299359999999993E-3</v>
      </c>
      <c r="AA48">
        <v>0</v>
      </c>
      <c r="AB48" t="s">
        <v>33</v>
      </c>
      <c r="AC48">
        <v>0</v>
      </c>
      <c r="AD48">
        <v>0</v>
      </c>
      <c r="AE48">
        <v>0</v>
      </c>
      <c r="AF48">
        <v>0</v>
      </c>
      <c r="AG48">
        <v>0</v>
      </c>
      <c r="AH48">
        <f t="shared" si="0"/>
        <v>0</v>
      </c>
    </row>
    <row r="49" spans="1:34" x14ac:dyDescent="0.25">
      <c r="A49" s="1">
        <v>43546</v>
      </c>
      <c r="B49">
        <v>248.5</v>
      </c>
      <c r="C49">
        <v>1.2219959000000001E-2</v>
      </c>
      <c r="D49">
        <v>284</v>
      </c>
      <c r="E49">
        <v>2.3423422999999999E-2</v>
      </c>
      <c r="F49">
        <v>-1.1203464E-2</v>
      </c>
      <c r="G49">
        <v>1.1203464E-2</v>
      </c>
      <c r="H49">
        <v>6.4069349999999999E-3</v>
      </c>
      <c r="I49">
        <v>1.2715450999999999E-2</v>
      </c>
      <c r="J49">
        <v>0</v>
      </c>
      <c r="K49">
        <v>0</v>
      </c>
      <c r="L49">
        <v>0</v>
      </c>
      <c r="M49">
        <v>5</v>
      </c>
      <c r="N49">
        <v>2.190647791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W49">
        <v>0</v>
      </c>
      <c r="X49">
        <v>0</v>
      </c>
      <c r="Y49">
        <v>0</v>
      </c>
      <c r="Z49">
        <v>1.2715450999999999E-2</v>
      </c>
      <c r="AA49">
        <v>0</v>
      </c>
      <c r="AB49" t="s">
        <v>33</v>
      </c>
      <c r="AC49">
        <v>0</v>
      </c>
      <c r="AD49">
        <v>0</v>
      </c>
      <c r="AE49">
        <v>0</v>
      </c>
      <c r="AF49">
        <v>0</v>
      </c>
      <c r="AG49">
        <v>0</v>
      </c>
      <c r="AH49">
        <f t="shared" si="0"/>
        <v>0</v>
      </c>
    </row>
    <row r="50" spans="1:34" x14ac:dyDescent="0.25">
      <c r="A50" s="1">
        <v>43549</v>
      </c>
      <c r="B50">
        <v>241.5</v>
      </c>
      <c r="C50">
        <v>-2.8169013999999999E-2</v>
      </c>
      <c r="D50">
        <v>276.5</v>
      </c>
      <c r="E50">
        <v>-2.6408450999999999E-2</v>
      </c>
      <c r="F50">
        <v>-1.7605629999999999E-3</v>
      </c>
      <c r="G50">
        <v>1.7605629999999999E-3</v>
      </c>
      <c r="H50">
        <v>1.7275459E-2</v>
      </c>
      <c r="I50">
        <v>1.9073364999999998E-2</v>
      </c>
      <c r="J50">
        <v>0</v>
      </c>
      <c r="K50">
        <v>0</v>
      </c>
      <c r="L50">
        <v>0</v>
      </c>
      <c r="M50">
        <v>5</v>
      </c>
      <c r="N50">
        <v>1.0733695649999999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W50">
        <v>0</v>
      </c>
      <c r="X50">
        <v>0</v>
      </c>
      <c r="Y50">
        <v>0</v>
      </c>
      <c r="Z50">
        <v>1.9073364999999998E-2</v>
      </c>
      <c r="AA50">
        <v>0</v>
      </c>
      <c r="AB50" t="s">
        <v>33</v>
      </c>
      <c r="AC50">
        <v>0</v>
      </c>
      <c r="AD50">
        <v>0</v>
      </c>
      <c r="AE50">
        <v>0</v>
      </c>
      <c r="AF50">
        <v>0</v>
      </c>
      <c r="AG50">
        <v>0</v>
      </c>
      <c r="AH50">
        <f t="shared" si="0"/>
        <v>0</v>
      </c>
    </row>
    <row r="51" spans="1:34" x14ac:dyDescent="0.25">
      <c r="A51" s="1">
        <v>43550</v>
      </c>
      <c r="B51">
        <v>244</v>
      </c>
      <c r="C51">
        <v>1.0351967E-2</v>
      </c>
      <c r="D51">
        <v>281</v>
      </c>
      <c r="E51">
        <v>1.6274864E-2</v>
      </c>
      <c r="F51">
        <v>-5.9228980000000002E-3</v>
      </c>
      <c r="G51">
        <v>5.9228980000000002E-3</v>
      </c>
      <c r="H51">
        <v>1.7694905E-2</v>
      </c>
      <c r="I51">
        <v>1.9740629999999999E-2</v>
      </c>
      <c r="J51">
        <v>0</v>
      </c>
      <c r="K51">
        <v>0</v>
      </c>
      <c r="L51">
        <v>0</v>
      </c>
      <c r="M51">
        <v>5</v>
      </c>
      <c r="N51">
        <v>1.810551982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W51">
        <v>0</v>
      </c>
      <c r="X51">
        <v>0</v>
      </c>
      <c r="Y51">
        <v>0</v>
      </c>
      <c r="Z51">
        <v>1.9740629999999999E-2</v>
      </c>
      <c r="AA51">
        <v>0</v>
      </c>
      <c r="AB51" t="s">
        <v>33</v>
      </c>
      <c r="AC51">
        <v>0</v>
      </c>
      <c r="AD51">
        <v>0</v>
      </c>
      <c r="AE51">
        <v>0</v>
      </c>
      <c r="AF51">
        <v>0</v>
      </c>
      <c r="AG51">
        <v>0</v>
      </c>
      <c r="AH51">
        <f t="shared" si="0"/>
        <v>0</v>
      </c>
    </row>
    <row r="52" spans="1:34" x14ac:dyDescent="0.25">
      <c r="A52" s="1">
        <v>43551</v>
      </c>
      <c r="B52">
        <v>241.5</v>
      </c>
      <c r="C52">
        <v>-1.0245901999999999E-2</v>
      </c>
      <c r="D52">
        <v>279.5</v>
      </c>
      <c r="E52">
        <v>-5.3380779999999996E-3</v>
      </c>
      <c r="F52">
        <v>-4.9078230000000004E-3</v>
      </c>
      <c r="G52">
        <v>4.9078230000000004E-3</v>
      </c>
      <c r="H52">
        <v>1.8464523E-2</v>
      </c>
      <c r="I52">
        <v>1.9922194000000001E-2</v>
      </c>
      <c r="J52">
        <v>0</v>
      </c>
      <c r="K52">
        <v>0</v>
      </c>
      <c r="L52">
        <v>0</v>
      </c>
      <c r="M52">
        <v>5</v>
      </c>
      <c r="N52">
        <v>0.60297517700000003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W52">
        <v>0</v>
      </c>
      <c r="X52">
        <v>0</v>
      </c>
      <c r="Y52">
        <v>0</v>
      </c>
      <c r="Z52">
        <v>1.9922194000000001E-2</v>
      </c>
      <c r="AA52">
        <v>0</v>
      </c>
      <c r="AB52" t="s">
        <v>33</v>
      </c>
      <c r="AC52">
        <v>0</v>
      </c>
      <c r="AD52">
        <v>0</v>
      </c>
      <c r="AE52">
        <v>0</v>
      </c>
      <c r="AF52">
        <v>0</v>
      </c>
      <c r="AG52">
        <v>0</v>
      </c>
      <c r="AH52">
        <f t="shared" si="0"/>
        <v>0</v>
      </c>
    </row>
    <row r="53" spans="1:34" x14ac:dyDescent="0.25">
      <c r="A53" s="1">
        <v>43552</v>
      </c>
      <c r="B53">
        <v>242</v>
      </c>
      <c r="C53">
        <v>2.0703929999999998E-3</v>
      </c>
      <c r="D53">
        <v>276.5</v>
      </c>
      <c r="E53">
        <v>-1.0733453E-2</v>
      </c>
      <c r="F53">
        <v>1.2803846000000001E-2</v>
      </c>
      <c r="G53">
        <v>1.2803846000000001E-2</v>
      </c>
      <c r="H53">
        <v>1.6742999000000001E-2</v>
      </c>
      <c r="I53">
        <v>2.0329097000000001E-2</v>
      </c>
      <c r="J53">
        <v>1</v>
      </c>
      <c r="K53">
        <v>0</v>
      </c>
      <c r="L53">
        <v>0</v>
      </c>
      <c r="M53">
        <v>5</v>
      </c>
      <c r="N53">
        <v>5.9233356500000003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W53">
        <v>0</v>
      </c>
      <c r="X53">
        <v>0</v>
      </c>
      <c r="Y53">
        <v>0</v>
      </c>
      <c r="Z53">
        <v>2.0329097000000001E-2</v>
      </c>
      <c r="AA53">
        <v>0</v>
      </c>
      <c r="AB53" t="s">
        <v>33</v>
      </c>
      <c r="AC53">
        <v>0</v>
      </c>
      <c r="AD53">
        <v>0</v>
      </c>
      <c r="AE53">
        <v>0</v>
      </c>
      <c r="AF53">
        <v>0</v>
      </c>
      <c r="AG53">
        <v>0</v>
      </c>
      <c r="AH53">
        <f t="shared" si="0"/>
        <v>0</v>
      </c>
    </row>
    <row r="54" spans="1:34" x14ac:dyDescent="0.25">
      <c r="A54" s="1">
        <v>43553</v>
      </c>
      <c r="B54">
        <v>245.5</v>
      </c>
      <c r="C54">
        <v>1.446281E-2</v>
      </c>
      <c r="D54">
        <v>282.5</v>
      </c>
      <c r="E54">
        <v>2.1699818999999999E-2</v>
      </c>
      <c r="F54">
        <v>-7.237009E-3</v>
      </c>
      <c r="G54">
        <v>7.237009E-3</v>
      </c>
      <c r="H54">
        <v>1.7266350999999999E-2</v>
      </c>
      <c r="I54">
        <v>1.9829284999999999E-2</v>
      </c>
      <c r="J54">
        <v>0</v>
      </c>
      <c r="K54">
        <v>0</v>
      </c>
      <c r="L54">
        <v>0</v>
      </c>
      <c r="M54">
        <v>5</v>
      </c>
      <c r="N54">
        <v>1.7265151439999999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W54">
        <v>0</v>
      </c>
      <c r="X54">
        <v>0</v>
      </c>
      <c r="Y54">
        <v>0</v>
      </c>
      <c r="Z54">
        <v>1.9829284999999999E-2</v>
      </c>
      <c r="AA54">
        <v>0</v>
      </c>
      <c r="AB54" t="s">
        <v>33</v>
      </c>
      <c r="AC54">
        <v>0</v>
      </c>
      <c r="AD54">
        <v>0</v>
      </c>
      <c r="AE54">
        <v>0</v>
      </c>
      <c r="AF54">
        <v>0</v>
      </c>
      <c r="AG54">
        <v>0</v>
      </c>
      <c r="AH54">
        <f t="shared" si="0"/>
        <v>0</v>
      </c>
    </row>
    <row r="55" spans="1:34" x14ac:dyDescent="0.25">
      <c r="A55" s="1">
        <v>43556</v>
      </c>
      <c r="B55">
        <v>245.5</v>
      </c>
      <c r="C55">
        <v>0</v>
      </c>
      <c r="D55">
        <v>285.5</v>
      </c>
      <c r="E55">
        <v>1.0619468999999999E-2</v>
      </c>
      <c r="F55">
        <v>-1.0619468999999999E-2</v>
      </c>
      <c r="G55">
        <v>1.0619468999999999E-2</v>
      </c>
      <c r="H55">
        <v>9.620656E-3</v>
      </c>
      <c r="I55">
        <v>1.3970365E-2</v>
      </c>
      <c r="J55">
        <v>0</v>
      </c>
      <c r="K55">
        <v>0</v>
      </c>
      <c r="L55">
        <v>0</v>
      </c>
      <c r="M55">
        <v>5</v>
      </c>
      <c r="N55" t="s">
        <v>36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W55">
        <v>0</v>
      </c>
      <c r="X55">
        <v>0</v>
      </c>
      <c r="Y55">
        <v>0</v>
      </c>
      <c r="Z55">
        <v>1.3970365E-2</v>
      </c>
      <c r="AA55">
        <v>0</v>
      </c>
      <c r="AB55" t="s">
        <v>33</v>
      </c>
      <c r="AC55">
        <v>0</v>
      </c>
      <c r="AD55">
        <v>0</v>
      </c>
      <c r="AE55">
        <v>0</v>
      </c>
      <c r="AF55">
        <v>0</v>
      </c>
      <c r="AG55">
        <v>0</v>
      </c>
      <c r="AH55">
        <f t="shared" si="0"/>
        <v>0</v>
      </c>
    </row>
    <row r="56" spans="1:34" x14ac:dyDescent="0.25">
      <c r="A56" s="1">
        <v>43557</v>
      </c>
      <c r="B56">
        <v>246</v>
      </c>
      <c r="C56">
        <v>2.03666E-3</v>
      </c>
      <c r="D56">
        <v>290.5</v>
      </c>
      <c r="E56">
        <v>1.7513134999999999E-2</v>
      </c>
      <c r="F56">
        <v>-1.5476475E-2</v>
      </c>
      <c r="G56">
        <v>1.5476475E-2</v>
      </c>
      <c r="H56">
        <v>8.7853319999999999E-3</v>
      </c>
      <c r="I56">
        <v>1.4196017999999999E-2</v>
      </c>
      <c r="J56">
        <v>0</v>
      </c>
      <c r="K56">
        <v>1</v>
      </c>
      <c r="L56">
        <v>1</v>
      </c>
      <c r="M56">
        <v>5</v>
      </c>
      <c r="N56">
        <v>10.15445019</v>
      </c>
      <c r="O56">
        <v>51</v>
      </c>
      <c r="P56">
        <v>-5</v>
      </c>
      <c r="Q56">
        <v>56</v>
      </c>
      <c r="R56">
        <v>-12546</v>
      </c>
      <c r="S56">
        <v>1452.5</v>
      </c>
      <c r="T56">
        <v>0</v>
      </c>
      <c r="U56">
        <v>0</v>
      </c>
      <c r="V56" t="s">
        <v>34</v>
      </c>
      <c r="W56">
        <v>-12546</v>
      </c>
      <c r="X56">
        <v>1452.5</v>
      </c>
      <c r="Y56">
        <v>0</v>
      </c>
      <c r="Z56">
        <v>1.4196017999999999E-2</v>
      </c>
      <c r="AA56">
        <v>13998.5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13998.5</v>
      </c>
      <c r="AH56">
        <f t="shared" si="0"/>
        <v>0</v>
      </c>
    </row>
    <row r="57" spans="1:34" x14ac:dyDescent="0.25">
      <c r="A57" s="1">
        <v>43558</v>
      </c>
      <c r="B57">
        <v>246.5</v>
      </c>
      <c r="C57">
        <v>2.0325199999999999E-3</v>
      </c>
      <c r="D57">
        <v>290.5</v>
      </c>
      <c r="E57">
        <v>0</v>
      </c>
      <c r="F57">
        <v>2.0325199999999999E-3</v>
      </c>
      <c r="G57">
        <v>2.0325199999999999E-3</v>
      </c>
      <c r="H57">
        <v>5.8490790000000001E-3</v>
      </c>
      <c r="I57">
        <v>1.3227114999999999E-2</v>
      </c>
      <c r="J57">
        <v>1</v>
      </c>
      <c r="K57">
        <v>0</v>
      </c>
      <c r="L57">
        <v>-1</v>
      </c>
      <c r="M57">
        <v>5</v>
      </c>
      <c r="N57">
        <v>0</v>
      </c>
      <c r="O57">
        <v>-51</v>
      </c>
      <c r="P57">
        <v>5</v>
      </c>
      <c r="Q57">
        <v>56</v>
      </c>
      <c r="R57">
        <v>12571.5</v>
      </c>
      <c r="S57">
        <v>-1452.5</v>
      </c>
      <c r="T57">
        <v>25.5</v>
      </c>
      <c r="U57">
        <v>0</v>
      </c>
      <c r="V57" t="s">
        <v>35</v>
      </c>
      <c r="W57">
        <v>12571.5</v>
      </c>
      <c r="X57">
        <v>-1452.5</v>
      </c>
      <c r="Y57">
        <v>25.5</v>
      </c>
      <c r="Z57">
        <v>1.3227114999999999E-2</v>
      </c>
      <c r="AA57">
        <v>14024</v>
      </c>
      <c r="AB57">
        <v>0</v>
      </c>
      <c r="AC57">
        <v>25.5</v>
      </c>
      <c r="AD57">
        <v>1.818311E-3</v>
      </c>
      <c r="AE57">
        <v>0</v>
      </c>
      <c r="AF57">
        <v>25.5</v>
      </c>
      <c r="AG57">
        <v>0</v>
      </c>
      <c r="AH57">
        <f t="shared" si="0"/>
        <v>1.8183114660581859E-3</v>
      </c>
    </row>
    <row r="58" spans="1:34" x14ac:dyDescent="0.25">
      <c r="A58" s="1">
        <v>43563</v>
      </c>
      <c r="B58">
        <v>253</v>
      </c>
      <c r="C58">
        <v>2.6369167999999998E-2</v>
      </c>
      <c r="D58">
        <v>294.5</v>
      </c>
      <c r="E58">
        <v>1.3769363E-2</v>
      </c>
      <c r="F58">
        <v>1.2599805E-2</v>
      </c>
      <c r="G58">
        <v>1.2599805E-2</v>
      </c>
      <c r="H58">
        <v>1.1286743E-2</v>
      </c>
      <c r="I58">
        <v>8.2298709999999997E-3</v>
      </c>
      <c r="J58">
        <v>1</v>
      </c>
      <c r="K58">
        <v>1</v>
      </c>
      <c r="L58">
        <v>1</v>
      </c>
      <c r="M58">
        <v>5</v>
      </c>
      <c r="N58">
        <v>0.60783009600000004</v>
      </c>
      <c r="O58">
        <v>-4</v>
      </c>
      <c r="P58">
        <v>5</v>
      </c>
      <c r="Q58">
        <v>9</v>
      </c>
      <c r="R58">
        <v>1012</v>
      </c>
      <c r="S58">
        <v>-1472.5</v>
      </c>
      <c r="T58">
        <v>0</v>
      </c>
      <c r="U58">
        <v>0</v>
      </c>
      <c r="V58" t="s">
        <v>34</v>
      </c>
      <c r="W58">
        <v>1012</v>
      </c>
      <c r="X58">
        <v>-1472.5</v>
      </c>
      <c r="Y58">
        <v>0</v>
      </c>
      <c r="Z58">
        <v>1.1286743E-2</v>
      </c>
      <c r="AA58">
        <v>2484.5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2484.5</v>
      </c>
      <c r="AH58">
        <f t="shared" si="0"/>
        <v>0</v>
      </c>
    </row>
    <row r="59" spans="1:34" x14ac:dyDescent="0.25">
      <c r="A59" s="1">
        <v>43564</v>
      </c>
      <c r="B59">
        <v>254</v>
      </c>
      <c r="C59">
        <v>3.9525690000000004E-3</v>
      </c>
      <c r="D59">
        <v>299.5</v>
      </c>
      <c r="E59">
        <v>1.6977928999999999E-2</v>
      </c>
      <c r="F59">
        <v>-1.302536E-2</v>
      </c>
      <c r="G59">
        <v>1.302536E-2</v>
      </c>
      <c r="H59">
        <v>1.0985079999999999E-2</v>
      </c>
      <c r="I59">
        <v>7.1407290000000002E-3</v>
      </c>
      <c r="J59">
        <v>0</v>
      </c>
      <c r="K59">
        <v>0</v>
      </c>
      <c r="L59">
        <v>-1</v>
      </c>
      <c r="M59">
        <v>5</v>
      </c>
      <c r="N59">
        <v>5.0648703929999996</v>
      </c>
      <c r="O59">
        <v>4</v>
      </c>
      <c r="P59">
        <v>-5</v>
      </c>
      <c r="Q59">
        <v>9</v>
      </c>
      <c r="R59">
        <v>-1016</v>
      </c>
      <c r="S59">
        <v>1497.5</v>
      </c>
      <c r="T59">
        <v>-4</v>
      </c>
      <c r="U59">
        <v>25</v>
      </c>
      <c r="V59" t="s">
        <v>35</v>
      </c>
      <c r="W59">
        <v>-1016</v>
      </c>
      <c r="X59">
        <v>1497.5</v>
      </c>
      <c r="Y59">
        <v>21</v>
      </c>
      <c r="Z59">
        <v>1.0985079999999999E-2</v>
      </c>
      <c r="AA59">
        <v>2513.5</v>
      </c>
      <c r="AB59">
        <v>0</v>
      </c>
      <c r="AC59">
        <v>21</v>
      </c>
      <c r="AD59">
        <v>8.3548839999999999E-3</v>
      </c>
      <c r="AE59">
        <v>0</v>
      </c>
      <c r="AF59">
        <v>21</v>
      </c>
      <c r="AG59">
        <v>0</v>
      </c>
      <c r="AH59">
        <f t="shared" si="0"/>
        <v>8.354883628406605E-3</v>
      </c>
    </row>
    <row r="60" spans="1:34" x14ac:dyDescent="0.25">
      <c r="A60" s="1">
        <v>43565</v>
      </c>
      <c r="B60">
        <v>254</v>
      </c>
      <c r="C60">
        <v>0</v>
      </c>
      <c r="D60">
        <v>300</v>
      </c>
      <c r="E60">
        <v>1.6694489999999999E-3</v>
      </c>
      <c r="F60">
        <v>-1.6694489999999999E-3</v>
      </c>
      <c r="G60">
        <v>1.6694489999999999E-3</v>
      </c>
      <c r="H60">
        <v>1.0985079999999999E-2</v>
      </c>
      <c r="I60">
        <v>8.4962330000000006E-3</v>
      </c>
      <c r="J60">
        <v>0</v>
      </c>
      <c r="K60">
        <v>0</v>
      </c>
      <c r="L60">
        <v>0</v>
      </c>
      <c r="M60">
        <v>5</v>
      </c>
      <c r="N60" t="s">
        <v>36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W60">
        <v>0</v>
      </c>
      <c r="X60">
        <v>0</v>
      </c>
      <c r="Y60">
        <v>0</v>
      </c>
      <c r="Z60">
        <v>1.0985079999999999E-2</v>
      </c>
      <c r="AA60">
        <v>0</v>
      </c>
      <c r="AB60" t="s">
        <v>33</v>
      </c>
      <c r="AC60">
        <v>0</v>
      </c>
      <c r="AD60">
        <v>0</v>
      </c>
      <c r="AE60">
        <v>0</v>
      </c>
      <c r="AF60">
        <v>0</v>
      </c>
      <c r="AG60">
        <v>0</v>
      </c>
      <c r="AH60">
        <f t="shared" si="0"/>
        <v>0</v>
      </c>
    </row>
    <row r="61" spans="1:34" x14ac:dyDescent="0.25">
      <c r="A61" s="1">
        <v>43566</v>
      </c>
      <c r="B61">
        <v>252</v>
      </c>
      <c r="C61">
        <v>-7.8740159999999993E-3</v>
      </c>
      <c r="D61">
        <v>291.5</v>
      </c>
      <c r="E61">
        <v>-2.8333332999999999E-2</v>
      </c>
      <c r="F61">
        <v>2.0459318000000001E-2</v>
      </c>
      <c r="G61">
        <v>2.0459318000000001E-2</v>
      </c>
      <c r="H61">
        <v>1.2818255000000001E-2</v>
      </c>
      <c r="I61">
        <v>1.7889070999999999E-2</v>
      </c>
      <c r="J61">
        <v>1</v>
      </c>
      <c r="K61">
        <v>1</v>
      </c>
      <c r="L61">
        <v>1</v>
      </c>
      <c r="M61">
        <v>5</v>
      </c>
      <c r="N61">
        <v>4.162357804</v>
      </c>
      <c r="O61">
        <v>-21</v>
      </c>
      <c r="P61">
        <v>5</v>
      </c>
      <c r="Q61">
        <v>26</v>
      </c>
      <c r="R61">
        <v>5292</v>
      </c>
      <c r="S61">
        <v>-1457.5</v>
      </c>
      <c r="T61">
        <v>0</v>
      </c>
      <c r="U61">
        <v>0</v>
      </c>
      <c r="V61" t="s">
        <v>34</v>
      </c>
      <c r="W61">
        <v>5292</v>
      </c>
      <c r="X61">
        <v>-1457.5</v>
      </c>
      <c r="Y61">
        <v>0</v>
      </c>
      <c r="Z61">
        <v>1.7889070999999999E-2</v>
      </c>
      <c r="AA61">
        <v>6749.5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6749.5</v>
      </c>
      <c r="AH61">
        <f t="shared" si="0"/>
        <v>0</v>
      </c>
    </row>
    <row r="62" spans="1:34" x14ac:dyDescent="0.25">
      <c r="A62" s="1">
        <v>43567</v>
      </c>
      <c r="B62">
        <v>252</v>
      </c>
      <c r="C62">
        <v>0</v>
      </c>
      <c r="D62">
        <v>293.5</v>
      </c>
      <c r="E62">
        <v>6.8610629999999997E-3</v>
      </c>
      <c r="F62">
        <v>-6.8610629999999997E-3</v>
      </c>
      <c r="G62">
        <v>6.8610629999999997E-3</v>
      </c>
      <c r="H62">
        <v>1.2963178000000001E-2</v>
      </c>
      <c r="I62">
        <v>1.8072964E-2</v>
      </c>
      <c r="J62">
        <v>0</v>
      </c>
      <c r="K62">
        <v>0</v>
      </c>
      <c r="L62">
        <v>-1</v>
      </c>
      <c r="M62">
        <v>5</v>
      </c>
      <c r="N62" t="s">
        <v>36</v>
      </c>
      <c r="O62">
        <v>21</v>
      </c>
      <c r="P62">
        <v>-5</v>
      </c>
      <c r="Q62">
        <v>26</v>
      </c>
      <c r="R62">
        <v>-5292</v>
      </c>
      <c r="S62">
        <v>1467.5</v>
      </c>
      <c r="T62">
        <v>0</v>
      </c>
      <c r="U62">
        <v>10</v>
      </c>
      <c r="V62" t="s">
        <v>35</v>
      </c>
      <c r="W62">
        <v>-5292</v>
      </c>
      <c r="X62">
        <v>1467.5</v>
      </c>
      <c r="Y62">
        <v>10</v>
      </c>
      <c r="Z62">
        <v>1.8072964E-2</v>
      </c>
      <c r="AA62">
        <v>6759.5</v>
      </c>
      <c r="AB62">
        <v>0</v>
      </c>
      <c r="AC62">
        <v>10</v>
      </c>
      <c r="AD62">
        <v>1.4793989999999999E-3</v>
      </c>
      <c r="AE62">
        <v>0</v>
      </c>
      <c r="AF62">
        <v>10</v>
      </c>
      <c r="AG62">
        <v>0</v>
      </c>
      <c r="AH62">
        <f t="shared" si="0"/>
        <v>1.4793993638582735E-3</v>
      </c>
    </row>
    <row r="63" spans="1:34" x14ac:dyDescent="0.25">
      <c r="A63" s="1">
        <v>43570</v>
      </c>
      <c r="B63">
        <v>255.5</v>
      </c>
      <c r="C63">
        <v>1.3888889E-2</v>
      </c>
      <c r="D63">
        <v>296.5</v>
      </c>
      <c r="E63">
        <v>1.0221465000000001E-2</v>
      </c>
      <c r="F63">
        <v>3.6674239999999999E-3</v>
      </c>
      <c r="G63">
        <v>3.6674239999999999E-3</v>
      </c>
      <c r="H63">
        <v>7.9160310000000005E-3</v>
      </c>
      <c r="I63">
        <v>1.7567197E-2</v>
      </c>
      <c r="J63">
        <v>1</v>
      </c>
      <c r="K63">
        <v>0</v>
      </c>
      <c r="L63">
        <v>0</v>
      </c>
      <c r="M63">
        <v>5</v>
      </c>
      <c r="N63">
        <v>0.85404241299999994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W63">
        <v>0</v>
      </c>
      <c r="X63">
        <v>0</v>
      </c>
      <c r="Y63">
        <v>0</v>
      </c>
      <c r="Z63">
        <v>1.7567197E-2</v>
      </c>
      <c r="AA63">
        <v>0</v>
      </c>
      <c r="AB63" t="s">
        <v>33</v>
      </c>
      <c r="AC63">
        <v>0</v>
      </c>
      <c r="AD63">
        <v>0</v>
      </c>
      <c r="AE63">
        <v>0</v>
      </c>
      <c r="AF63">
        <v>0</v>
      </c>
      <c r="AG63">
        <v>0</v>
      </c>
      <c r="AH63">
        <f t="shared" si="0"/>
        <v>0</v>
      </c>
    </row>
    <row r="64" spans="1:34" x14ac:dyDescent="0.25">
      <c r="A64" s="1">
        <v>43571</v>
      </c>
      <c r="B64">
        <v>257</v>
      </c>
      <c r="C64">
        <v>5.8708409999999999E-3</v>
      </c>
      <c r="D64">
        <v>300</v>
      </c>
      <c r="E64">
        <v>1.1804383999999999E-2</v>
      </c>
      <c r="F64">
        <v>-5.9335430000000003E-3</v>
      </c>
      <c r="G64">
        <v>5.9335430000000003E-3</v>
      </c>
      <c r="H64">
        <v>8.079513E-3</v>
      </c>
      <c r="I64">
        <v>1.6548961000000001E-2</v>
      </c>
      <c r="J64">
        <v>0</v>
      </c>
      <c r="K64">
        <v>0</v>
      </c>
      <c r="L64">
        <v>0</v>
      </c>
      <c r="M64">
        <v>5</v>
      </c>
      <c r="N64">
        <v>2.3470974600000001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W64">
        <v>0</v>
      </c>
      <c r="X64">
        <v>0</v>
      </c>
      <c r="Y64">
        <v>0</v>
      </c>
      <c r="Z64">
        <v>1.6548961000000001E-2</v>
      </c>
      <c r="AA64">
        <v>0</v>
      </c>
      <c r="AB64" t="s">
        <v>33</v>
      </c>
      <c r="AC64">
        <v>0</v>
      </c>
      <c r="AD64">
        <v>0</v>
      </c>
      <c r="AE64">
        <v>0</v>
      </c>
      <c r="AF64">
        <v>0</v>
      </c>
      <c r="AG64">
        <v>0</v>
      </c>
      <c r="AH64">
        <f t="shared" si="0"/>
        <v>0</v>
      </c>
    </row>
    <row r="65" spans="1:34" x14ac:dyDescent="0.25">
      <c r="A65" s="1">
        <v>43572</v>
      </c>
      <c r="B65">
        <v>261.5</v>
      </c>
      <c r="C65">
        <v>1.7509727999999999E-2</v>
      </c>
      <c r="D65">
        <v>288.5</v>
      </c>
      <c r="E65">
        <v>-3.8333332999999997E-2</v>
      </c>
      <c r="F65">
        <v>5.5843060999999999E-2</v>
      </c>
      <c r="G65">
        <v>5.5843060999999999E-2</v>
      </c>
      <c r="H65">
        <v>1.0285186999999999E-2</v>
      </c>
      <c r="I65">
        <v>2.3862398999999999E-2</v>
      </c>
      <c r="J65">
        <v>1</v>
      </c>
      <c r="K65">
        <v>1</v>
      </c>
      <c r="L65">
        <v>1</v>
      </c>
      <c r="M65">
        <v>5</v>
      </c>
      <c r="N65">
        <v>2.4153013240000001</v>
      </c>
      <c r="O65">
        <v>-13</v>
      </c>
      <c r="P65">
        <v>5</v>
      </c>
      <c r="Q65">
        <v>18</v>
      </c>
      <c r="R65">
        <v>3399.5</v>
      </c>
      <c r="S65">
        <v>-1442.5</v>
      </c>
      <c r="T65">
        <v>0</v>
      </c>
      <c r="U65">
        <v>0</v>
      </c>
      <c r="V65" t="s">
        <v>34</v>
      </c>
      <c r="W65">
        <v>3399.5</v>
      </c>
      <c r="X65">
        <v>-1442.5</v>
      </c>
      <c r="Y65">
        <v>0</v>
      </c>
      <c r="Z65">
        <v>2.3862398999999999E-2</v>
      </c>
      <c r="AA65">
        <v>4842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4842</v>
      </c>
      <c r="AH65">
        <f t="shared" si="0"/>
        <v>0</v>
      </c>
    </row>
    <row r="66" spans="1:34" x14ac:dyDescent="0.25">
      <c r="A66" s="1">
        <v>43573</v>
      </c>
      <c r="B66">
        <v>264.5</v>
      </c>
      <c r="C66">
        <v>1.1472275000000001E-2</v>
      </c>
      <c r="D66">
        <v>291</v>
      </c>
      <c r="E66">
        <v>8.6655110000000007E-3</v>
      </c>
      <c r="F66">
        <v>2.8067639999999998E-3</v>
      </c>
      <c r="G66">
        <v>2.8067639999999998E-3</v>
      </c>
      <c r="H66">
        <v>6.8996439999999999E-3</v>
      </c>
      <c r="I66">
        <v>2.1420257000000002E-2</v>
      </c>
      <c r="J66">
        <v>1</v>
      </c>
      <c r="K66">
        <v>1</v>
      </c>
      <c r="L66">
        <v>0</v>
      </c>
      <c r="M66">
        <v>5</v>
      </c>
      <c r="N66">
        <v>0.83102089199999996</v>
      </c>
      <c r="O66">
        <v>13</v>
      </c>
      <c r="P66">
        <v>-5</v>
      </c>
      <c r="Q66">
        <v>18</v>
      </c>
      <c r="R66">
        <v>-3438.5</v>
      </c>
      <c r="S66">
        <v>1455</v>
      </c>
      <c r="T66">
        <v>-39</v>
      </c>
      <c r="U66">
        <v>12.5</v>
      </c>
      <c r="V66" t="s">
        <v>37</v>
      </c>
      <c r="W66">
        <v>0</v>
      </c>
      <c r="X66">
        <v>0</v>
      </c>
      <c r="Y66">
        <v>0</v>
      </c>
      <c r="Z66">
        <v>2.1420257000000002E-2</v>
      </c>
      <c r="AA66">
        <v>4893.5</v>
      </c>
      <c r="AB66">
        <v>0</v>
      </c>
      <c r="AC66">
        <v>-26.5</v>
      </c>
      <c r="AD66">
        <v>-5.415347E-3</v>
      </c>
      <c r="AE66">
        <v>0</v>
      </c>
      <c r="AF66">
        <v>0</v>
      </c>
      <c r="AG66">
        <v>0</v>
      </c>
      <c r="AH66">
        <f t="shared" si="0"/>
        <v>0</v>
      </c>
    </row>
    <row r="67" spans="1:34" x14ac:dyDescent="0.25">
      <c r="A67" s="1">
        <v>43574</v>
      </c>
      <c r="B67">
        <v>264.5</v>
      </c>
      <c r="C67">
        <v>0</v>
      </c>
      <c r="D67">
        <v>290</v>
      </c>
      <c r="E67">
        <v>-3.4364259999999998E-3</v>
      </c>
      <c r="F67">
        <v>3.4364259999999998E-3</v>
      </c>
      <c r="G67">
        <v>3.4364259999999998E-3</v>
      </c>
      <c r="H67">
        <v>6.8996439999999999E-3</v>
      </c>
      <c r="I67">
        <v>2.1069054E-2</v>
      </c>
      <c r="J67">
        <v>1</v>
      </c>
      <c r="K67">
        <v>1</v>
      </c>
      <c r="L67">
        <v>0</v>
      </c>
      <c r="M67">
        <v>5</v>
      </c>
      <c r="N67" t="s">
        <v>36</v>
      </c>
      <c r="O67">
        <v>13</v>
      </c>
      <c r="P67">
        <v>-5</v>
      </c>
      <c r="Q67">
        <v>18</v>
      </c>
      <c r="R67">
        <v>-3438.5</v>
      </c>
      <c r="S67">
        <v>1450</v>
      </c>
      <c r="T67">
        <v>-39</v>
      </c>
      <c r="U67">
        <v>7.5</v>
      </c>
      <c r="V67" t="s">
        <v>37</v>
      </c>
      <c r="W67">
        <v>0</v>
      </c>
      <c r="X67">
        <v>0</v>
      </c>
      <c r="Y67">
        <v>0</v>
      </c>
      <c r="Z67">
        <v>2.1069054E-2</v>
      </c>
      <c r="AA67">
        <v>4888.5</v>
      </c>
      <c r="AB67">
        <v>0</v>
      </c>
      <c r="AC67">
        <v>-31.5</v>
      </c>
      <c r="AD67">
        <v>-6.4436939999999998E-3</v>
      </c>
      <c r="AE67">
        <v>0</v>
      </c>
      <c r="AF67">
        <v>0</v>
      </c>
      <c r="AG67">
        <v>0</v>
      </c>
      <c r="AH67">
        <f t="shared" ref="AH67:AH130" si="1">IF(AF67&lt;&gt;0,AF67/AA67,0)</f>
        <v>0</v>
      </c>
    </row>
    <row r="68" spans="1:34" x14ac:dyDescent="0.25">
      <c r="A68" s="1">
        <v>43577</v>
      </c>
      <c r="B68">
        <v>266</v>
      </c>
      <c r="C68">
        <v>5.6710780000000004E-3</v>
      </c>
      <c r="D68">
        <v>289</v>
      </c>
      <c r="E68">
        <v>-3.4482760000000001E-3</v>
      </c>
      <c r="F68">
        <v>9.1193530000000002E-3</v>
      </c>
      <c r="G68">
        <v>9.1193530000000002E-3</v>
      </c>
      <c r="H68">
        <v>6.6406690000000001E-3</v>
      </c>
      <c r="I68">
        <v>1.990656E-2</v>
      </c>
      <c r="J68">
        <v>1</v>
      </c>
      <c r="K68">
        <v>1</v>
      </c>
      <c r="L68">
        <v>0</v>
      </c>
      <c r="M68">
        <v>5</v>
      </c>
      <c r="N68">
        <v>0.66062138100000001</v>
      </c>
      <c r="O68">
        <v>13</v>
      </c>
      <c r="P68">
        <v>-5</v>
      </c>
      <c r="Q68">
        <v>18</v>
      </c>
      <c r="R68">
        <v>-3458</v>
      </c>
      <c r="S68">
        <v>1445</v>
      </c>
      <c r="T68">
        <v>-58.5</v>
      </c>
      <c r="U68">
        <v>2.5</v>
      </c>
      <c r="V68" t="s">
        <v>37</v>
      </c>
      <c r="W68">
        <v>0</v>
      </c>
      <c r="X68">
        <v>0</v>
      </c>
      <c r="Y68">
        <v>0</v>
      </c>
      <c r="Z68">
        <v>1.990656E-2</v>
      </c>
      <c r="AA68">
        <v>4903</v>
      </c>
      <c r="AB68">
        <v>0</v>
      </c>
      <c r="AC68">
        <v>-56</v>
      </c>
      <c r="AD68">
        <v>-1.1421578999999999E-2</v>
      </c>
      <c r="AE68">
        <v>0</v>
      </c>
      <c r="AF68">
        <v>0</v>
      </c>
      <c r="AG68">
        <v>0</v>
      </c>
      <c r="AH68">
        <f t="shared" si="1"/>
        <v>0</v>
      </c>
    </row>
    <row r="69" spans="1:34" x14ac:dyDescent="0.25">
      <c r="A69" s="1">
        <v>43578</v>
      </c>
      <c r="B69">
        <v>268</v>
      </c>
      <c r="C69">
        <v>7.5187969999999998E-3</v>
      </c>
      <c r="D69">
        <v>290</v>
      </c>
      <c r="E69">
        <v>3.4602080000000002E-3</v>
      </c>
      <c r="F69">
        <v>4.0585889999999996E-3</v>
      </c>
      <c r="G69">
        <v>4.0585889999999996E-3</v>
      </c>
      <c r="H69">
        <v>6.5422400000000004E-3</v>
      </c>
      <c r="I69">
        <v>1.8447140000000001E-2</v>
      </c>
      <c r="J69">
        <v>1</v>
      </c>
      <c r="K69">
        <v>1</v>
      </c>
      <c r="L69">
        <v>0</v>
      </c>
      <c r="M69">
        <v>5</v>
      </c>
      <c r="N69">
        <v>0.49798584899999998</v>
      </c>
      <c r="O69">
        <v>13</v>
      </c>
      <c r="P69">
        <v>-5</v>
      </c>
      <c r="Q69">
        <v>18</v>
      </c>
      <c r="R69">
        <v>-3484</v>
      </c>
      <c r="S69">
        <v>1450</v>
      </c>
      <c r="T69">
        <v>-84.5</v>
      </c>
      <c r="U69">
        <v>7.5</v>
      </c>
      <c r="V69" t="s">
        <v>37</v>
      </c>
      <c r="W69">
        <v>0</v>
      </c>
      <c r="X69">
        <v>0</v>
      </c>
      <c r="Y69">
        <v>0</v>
      </c>
      <c r="Z69">
        <v>1.8447140000000001E-2</v>
      </c>
      <c r="AA69">
        <v>4934</v>
      </c>
      <c r="AB69">
        <v>0</v>
      </c>
      <c r="AC69">
        <v>-77</v>
      </c>
      <c r="AD69">
        <v>-1.5605999000000001E-2</v>
      </c>
      <c r="AE69">
        <v>0</v>
      </c>
      <c r="AF69">
        <v>0</v>
      </c>
      <c r="AG69">
        <v>0</v>
      </c>
      <c r="AH69">
        <f t="shared" si="1"/>
        <v>0</v>
      </c>
    </row>
    <row r="70" spans="1:34" x14ac:dyDescent="0.25">
      <c r="A70" s="1">
        <v>43579</v>
      </c>
      <c r="B70">
        <v>269</v>
      </c>
      <c r="C70">
        <v>3.7313429999999998E-3</v>
      </c>
      <c r="D70">
        <v>289.5</v>
      </c>
      <c r="E70">
        <v>-1.7241380000000001E-3</v>
      </c>
      <c r="F70">
        <v>5.4554809999999999E-3</v>
      </c>
      <c r="G70">
        <v>5.4554809999999999E-3</v>
      </c>
      <c r="H70">
        <v>4.271749E-3</v>
      </c>
      <c r="I70">
        <v>5.2740570000000004E-3</v>
      </c>
      <c r="J70">
        <v>1</v>
      </c>
      <c r="K70">
        <v>1</v>
      </c>
      <c r="L70">
        <v>0</v>
      </c>
      <c r="M70">
        <v>5</v>
      </c>
      <c r="N70">
        <v>0.49728240000000001</v>
      </c>
      <c r="O70">
        <v>13</v>
      </c>
      <c r="P70">
        <v>-5</v>
      </c>
      <c r="Q70">
        <v>18</v>
      </c>
      <c r="R70">
        <v>-3497</v>
      </c>
      <c r="S70">
        <v>1447.5</v>
      </c>
      <c r="T70">
        <v>-97.5</v>
      </c>
      <c r="U70">
        <v>5</v>
      </c>
      <c r="V70" t="s">
        <v>37</v>
      </c>
      <c r="W70">
        <v>0</v>
      </c>
      <c r="X70">
        <v>0</v>
      </c>
      <c r="Y70">
        <v>0</v>
      </c>
      <c r="Z70">
        <v>5.2740570000000004E-3</v>
      </c>
      <c r="AA70">
        <v>4944.5</v>
      </c>
      <c r="AB70">
        <v>0</v>
      </c>
      <c r="AC70">
        <v>-92.5</v>
      </c>
      <c r="AD70">
        <v>-1.8707655E-2</v>
      </c>
      <c r="AE70">
        <v>1</v>
      </c>
      <c r="AF70">
        <v>-92.5</v>
      </c>
      <c r="AG70">
        <v>0</v>
      </c>
      <c r="AH70">
        <f t="shared" si="1"/>
        <v>-1.8707654970168873E-2</v>
      </c>
    </row>
    <row r="71" spans="1:34" x14ac:dyDescent="0.25">
      <c r="A71" s="1">
        <v>43580</v>
      </c>
      <c r="B71">
        <v>267.5</v>
      </c>
      <c r="C71">
        <v>-5.576208E-3</v>
      </c>
      <c r="D71">
        <v>288</v>
      </c>
      <c r="E71">
        <v>-5.1813470000000002E-3</v>
      </c>
      <c r="F71">
        <v>-3.9486099999999999E-4</v>
      </c>
      <c r="G71">
        <v>3.9486099999999999E-4</v>
      </c>
      <c r="H71">
        <v>5.195397E-3</v>
      </c>
      <c r="I71">
        <v>3.3222730000000002E-3</v>
      </c>
      <c r="J71">
        <v>0</v>
      </c>
      <c r="K71">
        <v>0</v>
      </c>
      <c r="L71">
        <v>-1</v>
      </c>
      <c r="M71">
        <v>5</v>
      </c>
      <c r="N71">
        <v>1.000397075</v>
      </c>
      <c r="O71">
        <v>13</v>
      </c>
      <c r="P71">
        <v>-5</v>
      </c>
      <c r="Q71">
        <v>18</v>
      </c>
      <c r="R71">
        <v>-3477.5</v>
      </c>
      <c r="S71">
        <v>1440</v>
      </c>
      <c r="T71">
        <v>-78</v>
      </c>
      <c r="U71">
        <v>-2.5</v>
      </c>
      <c r="V71" t="s">
        <v>35</v>
      </c>
      <c r="W71">
        <v>-3477.5</v>
      </c>
      <c r="X71">
        <v>1440</v>
      </c>
      <c r="Y71">
        <v>-80.5</v>
      </c>
      <c r="Z71">
        <v>5.195397E-3</v>
      </c>
      <c r="AA71">
        <v>4917.5</v>
      </c>
      <c r="AB71">
        <v>0</v>
      </c>
      <c r="AC71">
        <v>-80.5</v>
      </c>
      <c r="AD71">
        <v>-1.6370106999999998E-2</v>
      </c>
      <c r="AE71">
        <v>1</v>
      </c>
      <c r="AF71">
        <v>0</v>
      </c>
      <c r="AG71">
        <v>0</v>
      </c>
      <c r="AH71">
        <f t="shared" si="1"/>
        <v>0</v>
      </c>
    </row>
    <row r="72" spans="1:34" x14ac:dyDescent="0.25">
      <c r="A72" s="1">
        <v>43581</v>
      </c>
      <c r="B72">
        <v>260</v>
      </c>
      <c r="C72">
        <v>-2.8037382999999999E-2</v>
      </c>
      <c r="D72">
        <v>290</v>
      </c>
      <c r="E72">
        <v>6.9444440000000001E-3</v>
      </c>
      <c r="F72">
        <v>-3.4981828E-2</v>
      </c>
      <c r="G72">
        <v>3.4981828E-2</v>
      </c>
      <c r="H72">
        <v>1.4697604E-2</v>
      </c>
      <c r="I72">
        <v>5.0474609999999996E-3</v>
      </c>
      <c r="J72">
        <v>0</v>
      </c>
      <c r="K72">
        <v>1</v>
      </c>
      <c r="L72">
        <v>1</v>
      </c>
      <c r="M72">
        <v>5</v>
      </c>
      <c r="N72">
        <v>0.27626424500000002</v>
      </c>
      <c r="O72">
        <v>2</v>
      </c>
      <c r="P72">
        <v>-5</v>
      </c>
      <c r="Q72">
        <v>7</v>
      </c>
      <c r="R72">
        <v>-520</v>
      </c>
      <c r="S72">
        <v>1450</v>
      </c>
      <c r="T72">
        <v>0</v>
      </c>
      <c r="U72">
        <v>0</v>
      </c>
      <c r="V72" t="s">
        <v>34</v>
      </c>
      <c r="W72">
        <v>-520</v>
      </c>
      <c r="X72">
        <v>1450</v>
      </c>
      <c r="Y72">
        <v>0</v>
      </c>
      <c r="Z72">
        <v>1.4697604E-2</v>
      </c>
      <c r="AA72">
        <v>1970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1970</v>
      </c>
      <c r="AH72">
        <f t="shared" si="1"/>
        <v>0</v>
      </c>
    </row>
    <row r="73" spans="1:34" x14ac:dyDescent="0.25">
      <c r="A73" s="1">
        <v>43584</v>
      </c>
      <c r="B73">
        <v>259.5</v>
      </c>
      <c r="C73">
        <v>-1.923077E-3</v>
      </c>
      <c r="D73">
        <v>287.5</v>
      </c>
      <c r="E73">
        <v>-8.6206900000000003E-3</v>
      </c>
      <c r="F73">
        <v>6.6976129999999998E-3</v>
      </c>
      <c r="G73">
        <v>6.6976129999999998E-3</v>
      </c>
      <c r="H73">
        <v>1.3904813E-2</v>
      </c>
      <c r="I73">
        <v>6.3064979999999998E-3</v>
      </c>
      <c r="J73">
        <v>1</v>
      </c>
      <c r="K73">
        <v>0</v>
      </c>
      <c r="L73">
        <v>-1</v>
      </c>
      <c r="M73">
        <v>5</v>
      </c>
      <c r="N73">
        <v>4.966447412</v>
      </c>
      <c r="O73">
        <v>-2</v>
      </c>
      <c r="P73">
        <v>5</v>
      </c>
      <c r="Q73">
        <v>7</v>
      </c>
      <c r="R73">
        <v>519</v>
      </c>
      <c r="S73">
        <v>-1437.5</v>
      </c>
      <c r="T73">
        <v>-1</v>
      </c>
      <c r="U73">
        <v>12.5</v>
      </c>
      <c r="V73" t="s">
        <v>35</v>
      </c>
      <c r="W73">
        <v>519</v>
      </c>
      <c r="X73">
        <v>-1437.5</v>
      </c>
      <c r="Y73">
        <v>11.5</v>
      </c>
      <c r="Z73">
        <v>1.3904813E-2</v>
      </c>
      <c r="AA73">
        <v>1956.5</v>
      </c>
      <c r="AB73">
        <v>0</v>
      </c>
      <c r="AC73">
        <v>11.5</v>
      </c>
      <c r="AD73">
        <v>5.8778429999999998E-3</v>
      </c>
      <c r="AE73">
        <v>0</v>
      </c>
      <c r="AF73">
        <v>11.5</v>
      </c>
      <c r="AG73">
        <v>0</v>
      </c>
      <c r="AH73">
        <f t="shared" si="1"/>
        <v>5.8778430871454131E-3</v>
      </c>
    </row>
    <row r="74" spans="1:34" x14ac:dyDescent="0.25">
      <c r="A74" s="1">
        <v>43585</v>
      </c>
      <c r="B74">
        <v>259</v>
      </c>
      <c r="C74">
        <v>-1.9267819999999999E-3</v>
      </c>
      <c r="D74">
        <v>295.5</v>
      </c>
      <c r="E74">
        <v>2.7826086999999999E-2</v>
      </c>
      <c r="F74">
        <v>-2.9752869000000001E-2</v>
      </c>
      <c r="G74">
        <v>2.9752869000000001E-2</v>
      </c>
      <c r="H74">
        <v>1.2358717E-2</v>
      </c>
      <c r="I74">
        <v>1.4599509E-2</v>
      </c>
      <c r="J74">
        <v>0</v>
      </c>
      <c r="K74">
        <v>1</v>
      </c>
      <c r="L74">
        <v>1</v>
      </c>
      <c r="M74">
        <v>5</v>
      </c>
      <c r="N74">
        <v>16.47696492</v>
      </c>
      <c r="O74">
        <v>83</v>
      </c>
      <c r="P74">
        <v>-5</v>
      </c>
      <c r="Q74">
        <v>88</v>
      </c>
      <c r="R74">
        <v>-21497</v>
      </c>
      <c r="S74">
        <v>1477.5</v>
      </c>
      <c r="T74">
        <v>0</v>
      </c>
      <c r="U74">
        <v>0</v>
      </c>
      <c r="V74" t="s">
        <v>34</v>
      </c>
      <c r="W74">
        <v>-21497</v>
      </c>
      <c r="X74">
        <v>1477.5</v>
      </c>
      <c r="Y74">
        <v>0</v>
      </c>
      <c r="Z74">
        <v>1.4599509E-2</v>
      </c>
      <c r="AA74">
        <v>22974.5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22974.5</v>
      </c>
      <c r="AH74">
        <f t="shared" si="1"/>
        <v>0</v>
      </c>
    </row>
    <row r="75" spans="1:34" x14ac:dyDescent="0.25">
      <c r="A75" s="1">
        <v>43587</v>
      </c>
      <c r="B75">
        <v>259</v>
      </c>
      <c r="C75">
        <v>0</v>
      </c>
      <c r="D75">
        <v>298</v>
      </c>
      <c r="E75">
        <v>8.4602370000000007E-3</v>
      </c>
      <c r="F75">
        <v>-8.4602370000000007E-3</v>
      </c>
      <c r="G75">
        <v>8.4602370000000007E-3</v>
      </c>
      <c r="H75">
        <v>1.1660807E-2</v>
      </c>
      <c r="I75">
        <v>1.433566E-2</v>
      </c>
      <c r="J75">
        <v>0</v>
      </c>
      <c r="K75">
        <v>1</v>
      </c>
      <c r="L75">
        <v>0</v>
      </c>
      <c r="M75">
        <v>5</v>
      </c>
      <c r="N75" t="s">
        <v>36</v>
      </c>
      <c r="O75">
        <v>-83</v>
      </c>
      <c r="P75">
        <v>5</v>
      </c>
      <c r="Q75">
        <v>88</v>
      </c>
      <c r="R75">
        <v>21497</v>
      </c>
      <c r="S75">
        <v>-1490</v>
      </c>
      <c r="T75">
        <v>0</v>
      </c>
      <c r="U75">
        <v>-12.5</v>
      </c>
      <c r="V75" t="s">
        <v>37</v>
      </c>
      <c r="W75">
        <v>0</v>
      </c>
      <c r="X75">
        <v>0</v>
      </c>
      <c r="Y75">
        <v>0</v>
      </c>
      <c r="Z75">
        <v>1.433566E-2</v>
      </c>
      <c r="AA75">
        <v>22987</v>
      </c>
      <c r="AB75">
        <v>0.01</v>
      </c>
      <c r="AC75">
        <v>-12.5</v>
      </c>
      <c r="AD75">
        <v>-5.4378599999999999E-4</v>
      </c>
      <c r="AE75">
        <v>0</v>
      </c>
      <c r="AF75">
        <v>0</v>
      </c>
      <c r="AG75">
        <v>0</v>
      </c>
      <c r="AH75">
        <f t="shared" si="1"/>
        <v>0</v>
      </c>
    </row>
    <row r="76" spans="1:34" x14ac:dyDescent="0.25">
      <c r="A76" s="1">
        <v>43588</v>
      </c>
      <c r="B76">
        <v>265</v>
      </c>
      <c r="C76">
        <v>2.3166023000000001E-2</v>
      </c>
      <c r="D76">
        <v>309</v>
      </c>
      <c r="E76">
        <v>3.6912752E-2</v>
      </c>
      <c r="F76">
        <v>-1.3746728999999999E-2</v>
      </c>
      <c r="G76">
        <v>1.3746728999999999E-2</v>
      </c>
      <c r="H76">
        <v>1.8131176999999998E-2</v>
      </c>
      <c r="I76">
        <v>1.8082148999999999E-2</v>
      </c>
      <c r="J76">
        <v>0</v>
      </c>
      <c r="K76">
        <v>1</v>
      </c>
      <c r="L76">
        <v>0</v>
      </c>
      <c r="M76">
        <v>5</v>
      </c>
      <c r="N76">
        <v>1.85796505</v>
      </c>
      <c r="O76">
        <v>-83</v>
      </c>
      <c r="P76">
        <v>5</v>
      </c>
      <c r="Q76">
        <v>88</v>
      </c>
      <c r="R76">
        <v>21995</v>
      </c>
      <c r="S76">
        <v>-1545</v>
      </c>
      <c r="T76">
        <v>498</v>
      </c>
      <c r="U76">
        <v>-67.5</v>
      </c>
      <c r="V76" t="s">
        <v>37</v>
      </c>
      <c r="W76">
        <v>0</v>
      </c>
      <c r="X76">
        <v>0</v>
      </c>
      <c r="Y76">
        <v>0</v>
      </c>
      <c r="Z76">
        <v>1.8131176999999998E-2</v>
      </c>
      <c r="AA76">
        <v>23540</v>
      </c>
      <c r="AB76">
        <v>0.01</v>
      </c>
      <c r="AC76">
        <v>430.5</v>
      </c>
      <c r="AD76">
        <v>1.8288019999999999E-2</v>
      </c>
      <c r="AE76">
        <v>0</v>
      </c>
      <c r="AF76">
        <v>0</v>
      </c>
      <c r="AG76">
        <v>0</v>
      </c>
      <c r="AH76">
        <f t="shared" si="1"/>
        <v>0</v>
      </c>
    </row>
    <row r="77" spans="1:34" x14ac:dyDescent="0.25">
      <c r="A77" s="1">
        <v>43591</v>
      </c>
      <c r="B77">
        <v>259</v>
      </c>
      <c r="C77">
        <v>-2.2641509000000001E-2</v>
      </c>
      <c r="D77">
        <v>306</v>
      </c>
      <c r="E77">
        <v>-9.7087379999999997E-3</v>
      </c>
      <c r="F77">
        <v>-1.2932772E-2</v>
      </c>
      <c r="G77">
        <v>1.2932772E-2</v>
      </c>
      <c r="H77">
        <v>1.6236546000000001E-2</v>
      </c>
      <c r="I77">
        <v>2.1064533E-2</v>
      </c>
      <c r="J77">
        <v>0</v>
      </c>
      <c r="K77">
        <v>1</v>
      </c>
      <c r="L77">
        <v>0</v>
      </c>
      <c r="M77">
        <v>5</v>
      </c>
      <c r="N77">
        <v>0.50661618600000002</v>
      </c>
      <c r="O77">
        <v>-83</v>
      </c>
      <c r="P77">
        <v>5</v>
      </c>
      <c r="Q77">
        <v>88</v>
      </c>
      <c r="R77">
        <v>21497</v>
      </c>
      <c r="S77">
        <v>-1530</v>
      </c>
      <c r="T77">
        <v>0</v>
      </c>
      <c r="U77">
        <v>-52.5</v>
      </c>
      <c r="V77" t="s">
        <v>37</v>
      </c>
      <c r="W77">
        <v>0</v>
      </c>
      <c r="X77">
        <v>0</v>
      </c>
      <c r="Y77">
        <v>0</v>
      </c>
      <c r="Z77">
        <v>2.1064533E-2</v>
      </c>
      <c r="AA77">
        <v>23027</v>
      </c>
      <c r="AB77">
        <v>0.01</v>
      </c>
      <c r="AC77">
        <v>-52.5</v>
      </c>
      <c r="AD77">
        <v>-2.2799320000000001E-3</v>
      </c>
      <c r="AE77">
        <v>0</v>
      </c>
      <c r="AF77">
        <v>0</v>
      </c>
      <c r="AG77">
        <v>0</v>
      </c>
      <c r="AH77">
        <f t="shared" si="1"/>
        <v>0</v>
      </c>
    </row>
    <row r="78" spans="1:34" x14ac:dyDescent="0.25">
      <c r="A78" s="1">
        <v>43592</v>
      </c>
      <c r="B78">
        <v>262.5</v>
      </c>
      <c r="C78">
        <v>1.3513514000000001E-2</v>
      </c>
      <c r="D78">
        <v>311</v>
      </c>
      <c r="E78">
        <v>1.6339869E-2</v>
      </c>
      <c r="F78">
        <v>-2.8263559999999999E-3</v>
      </c>
      <c r="G78">
        <v>2.8263559999999999E-3</v>
      </c>
      <c r="H78">
        <v>1.7365868999999999E-2</v>
      </c>
      <c r="I78">
        <v>1.7993724999999999E-2</v>
      </c>
      <c r="J78">
        <v>0</v>
      </c>
      <c r="K78">
        <v>1</v>
      </c>
      <c r="L78">
        <v>0</v>
      </c>
      <c r="M78">
        <v>5</v>
      </c>
      <c r="N78">
        <v>1.432555244</v>
      </c>
      <c r="O78">
        <v>-83</v>
      </c>
      <c r="P78">
        <v>5</v>
      </c>
      <c r="Q78">
        <v>88</v>
      </c>
      <c r="R78">
        <v>21787.5</v>
      </c>
      <c r="S78">
        <v>-1555</v>
      </c>
      <c r="T78">
        <v>290.5</v>
      </c>
      <c r="U78">
        <v>-77.5</v>
      </c>
      <c r="V78" t="s">
        <v>37</v>
      </c>
      <c r="W78">
        <v>0</v>
      </c>
      <c r="X78">
        <v>0</v>
      </c>
      <c r="Y78">
        <v>0</v>
      </c>
      <c r="Z78">
        <v>1.7993724999999999E-2</v>
      </c>
      <c r="AA78">
        <v>23342.5</v>
      </c>
      <c r="AB78">
        <v>0.01</v>
      </c>
      <c r="AC78">
        <v>213</v>
      </c>
      <c r="AD78">
        <v>9.1249869999999993E-3</v>
      </c>
      <c r="AE78">
        <v>0</v>
      </c>
      <c r="AF78">
        <v>0</v>
      </c>
      <c r="AG78">
        <v>0</v>
      </c>
      <c r="AH78">
        <f t="shared" si="1"/>
        <v>0</v>
      </c>
    </row>
    <row r="79" spans="1:34" x14ac:dyDescent="0.25">
      <c r="A79" s="1">
        <v>43593</v>
      </c>
      <c r="B79">
        <v>260</v>
      </c>
      <c r="C79">
        <v>-9.5238100000000006E-3</v>
      </c>
      <c r="D79">
        <v>310</v>
      </c>
      <c r="E79">
        <v>-3.2154340000000001E-3</v>
      </c>
      <c r="F79">
        <v>-6.3083749999999997E-3</v>
      </c>
      <c r="G79">
        <v>6.3083749999999997E-3</v>
      </c>
      <c r="H79">
        <v>1.8155886999999999E-2</v>
      </c>
      <c r="I79">
        <v>1.8232180000000001E-2</v>
      </c>
      <c r="J79">
        <v>0</v>
      </c>
      <c r="K79">
        <v>1</v>
      </c>
      <c r="L79">
        <v>0</v>
      </c>
      <c r="M79">
        <v>5</v>
      </c>
      <c r="N79">
        <v>0.40254761300000003</v>
      </c>
      <c r="O79">
        <v>-83</v>
      </c>
      <c r="P79">
        <v>5</v>
      </c>
      <c r="Q79">
        <v>88</v>
      </c>
      <c r="R79">
        <v>21580</v>
      </c>
      <c r="S79">
        <v>-1550</v>
      </c>
      <c r="T79">
        <v>83</v>
      </c>
      <c r="U79">
        <v>-72.5</v>
      </c>
      <c r="V79" t="s">
        <v>37</v>
      </c>
      <c r="W79">
        <v>0</v>
      </c>
      <c r="X79">
        <v>0</v>
      </c>
      <c r="Y79">
        <v>0</v>
      </c>
      <c r="Z79">
        <v>1.8232180000000001E-2</v>
      </c>
      <c r="AA79">
        <v>23130</v>
      </c>
      <c r="AB79">
        <v>0.01</v>
      </c>
      <c r="AC79">
        <v>10.5</v>
      </c>
      <c r="AD79">
        <v>4.5395599999999999E-4</v>
      </c>
      <c r="AE79">
        <v>0</v>
      </c>
      <c r="AF79">
        <v>0</v>
      </c>
      <c r="AG79">
        <v>0</v>
      </c>
      <c r="AH79">
        <f t="shared" si="1"/>
        <v>0</v>
      </c>
    </row>
    <row r="80" spans="1:34" x14ac:dyDescent="0.25">
      <c r="A80" s="1">
        <v>43594</v>
      </c>
      <c r="B80">
        <v>256.5</v>
      </c>
      <c r="C80">
        <v>-1.3461538E-2</v>
      </c>
      <c r="D80">
        <v>300</v>
      </c>
      <c r="E80">
        <v>-3.2258065000000002E-2</v>
      </c>
      <c r="F80">
        <v>1.8796526000000001E-2</v>
      </c>
      <c r="G80">
        <v>1.8796526000000001E-2</v>
      </c>
      <c r="H80">
        <v>1.9286152000000001E-2</v>
      </c>
      <c r="I80">
        <v>2.6275929E-2</v>
      </c>
      <c r="J80">
        <v>1</v>
      </c>
      <c r="K80">
        <v>0</v>
      </c>
      <c r="L80">
        <v>-1</v>
      </c>
      <c r="M80">
        <v>5</v>
      </c>
      <c r="N80">
        <v>2.8027056890000002</v>
      </c>
      <c r="O80">
        <v>-83</v>
      </c>
      <c r="P80">
        <v>5</v>
      </c>
      <c r="Q80">
        <v>88</v>
      </c>
      <c r="R80">
        <v>21289.5</v>
      </c>
      <c r="S80">
        <v>-1500</v>
      </c>
      <c r="T80">
        <v>-207.5</v>
      </c>
      <c r="U80">
        <v>-22.5</v>
      </c>
      <c r="V80" t="s">
        <v>35</v>
      </c>
      <c r="W80">
        <v>21289.5</v>
      </c>
      <c r="X80">
        <v>-1500</v>
      </c>
      <c r="Y80">
        <v>-230</v>
      </c>
      <c r="Z80">
        <v>2.6275929E-2</v>
      </c>
      <c r="AA80">
        <v>22789.5</v>
      </c>
      <c r="AB80">
        <v>0</v>
      </c>
      <c r="AC80">
        <v>-230</v>
      </c>
      <c r="AD80">
        <v>-1.0092367E-2</v>
      </c>
      <c r="AE80">
        <v>0</v>
      </c>
      <c r="AF80">
        <v>-230</v>
      </c>
      <c r="AG80">
        <v>0</v>
      </c>
      <c r="AH80">
        <f t="shared" si="1"/>
        <v>-1.0092367098883257E-2</v>
      </c>
    </row>
    <row r="81" spans="1:34" x14ac:dyDescent="0.25">
      <c r="A81" s="1">
        <v>43595</v>
      </c>
      <c r="B81">
        <v>256</v>
      </c>
      <c r="C81">
        <v>-1.949318E-3</v>
      </c>
      <c r="D81">
        <v>298.5</v>
      </c>
      <c r="E81">
        <v>-5.0000000000000001E-3</v>
      </c>
      <c r="F81">
        <v>3.0506819999999999E-3</v>
      </c>
      <c r="G81">
        <v>3.0506819999999999E-3</v>
      </c>
      <c r="H81">
        <v>1.3591503E-2</v>
      </c>
      <c r="I81">
        <v>1.7378949000000001E-2</v>
      </c>
      <c r="J81">
        <v>1</v>
      </c>
      <c r="K81">
        <v>0</v>
      </c>
      <c r="L81">
        <v>0</v>
      </c>
      <c r="M81">
        <v>5</v>
      </c>
      <c r="N81">
        <v>2.9908300780000001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W81">
        <v>0</v>
      </c>
      <c r="X81">
        <v>0</v>
      </c>
      <c r="Y81">
        <v>0</v>
      </c>
      <c r="Z81">
        <v>1.7378949000000001E-2</v>
      </c>
      <c r="AA81">
        <v>0</v>
      </c>
      <c r="AB81" t="s">
        <v>33</v>
      </c>
      <c r="AC81">
        <v>0</v>
      </c>
      <c r="AD81">
        <v>0</v>
      </c>
      <c r="AE81">
        <v>0</v>
      </c>
      <c r="AF81">
        <v>0</v>
      </c>
      <c r="AG81">
        <v>0</v>
      </c>
      <c r="AH81">
        <f t="shared" si="1"/>
        <v>0</v>
      </c>
    </row>
    <row r="82" spans="1:34" x14ac:dyDescent="0.25">
      <c r="A82" s="1">
        <v>43598</v>
      </c>
      <c r="B82">
        <v>250.5</v>
      </c>
      <c r="C82">
        <v>-2.1484375E-2</v>
      </c>
      <c r="D82">
        <v>286.5</v>
      </c>
      <c r="E82">
        <v>-4.0201004999999998E-2</v>
      </c>
      <c r="F82">
        <v>1.8716630000000001E-2</v>
      </c>
      <c r="G82">
        <v>1.8716630000000001E-2</v>
      </c>
      <c r="H82">
        <v>1.3260416000000001E-2</v>
      </c>
      <c r="I82">
        <v>2.3082703999999999E-2</v>
      </c>
      <c r="J82">
        <v>1</v>
      </c>
      <c r="K82">
        <v>0</v>
      </c>
      <c r="L82">
        <v>0</v>
      </c>
      <c r="M82">
        <v>5</v>
      </c>
      <c r="N82">
        <v>2.1400852929999998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W82">
        <v>0</v>
      </c>
      <c r="X82">
        <v>0</v>
      </c>
      <c r="Y82">
        <v>0</v>
      </c>
      <c r="Z82">
        <v>2.3082703999999999E-2</v>
      </c>
      <c r="AA82">
        <v>0</v>
      </c>
      <c r="AB82" t="s">
        <v>33</v>
      </c>
      <c r="AC82">
        <v>0</v>
      </c>
      <c r="AD82">
        <v>0</v>
      </c>
      <c r="AE82">
        <v>0</v>
      </c>
      <c r="AF82">
        <v>0</v>
      </c>
      <c r="AG82">
        <v>0</v>
      </c>
      <c r="AH82">
        <f t="shared" si="1"/>
        <v>0</v>
      </c>
    </row>
    <row r="83" spans="1:34" x14ac:dyDescent="0.25">
      <c r="A83" s="1">
        <v>43599</v>
      </c>
      <c r="B83">
        <v>248.5</v>
      </c>
      <c r="C83">
        <v>-7.9840320000000003E-3</v>
      </c>
      <c r="D83">
        <v>289</v>
      </c>
      <c r="E83">
        <v>8.7260029999999995E-3</v>
      </c>
      <c r="F83">
        <v>-1.6710035000000002E-2</v>
      </c>
      <c r="G83">
        <v>1.6710035000000002E-2</v>
      </c>
      <c r="H83">
        <v>7.2301470000000001E-3</v>
      </c>
      <c r="I83">
        <v>2.0813867999999999E-2</v>
      </c>
      <c r="J83">
        <v>0</v>
      </c>
      <c r="K83">
        <v>0</v>
      </c>
      <c r="L83">
        <v>0</v>
      </c>
      <c r="M83">
        <v>5</v>
      </c>
      <c r="N83">
        <v>1.2710556529999999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W83">
        <v>0</v>
      </c>
      <c r="X83">
        <v>0</v>
      </c>
      <c r="Y83">
        <v>0</v>
      </c>
      <c r="Z83">
        <v>2.0813867999999999E-2</v>
      </c>
      <c r="AA83">
        <v>0</v>
      </c>
      <c r="AB83" t="s">
        <v>33</v>
      </c>
      <c r="AC83">
        <v>0</v>
      </c>
      <c r="AD83">
        <v>0</v>
      </c>
      <c r="AE83">
        <v>0</v>
      </c>
      <c r="AF83">
        <v>0</v>
      </c>
      <c r="AG83">
        <v>0</v>
      </c>
      <c r="AH83">
        <f t="shared" si="1"/>
        <v>0</v>
      </c>
    </row>
    <row r="84" spans="1:34" x14ac:dyDescent="0.25">
      <c r="A84" s="1">
        <v>43600</v>
      </c>
      <c r="B84">
        <v>249</v>
      </c>
      <c r="C84">
        <v>2.0120720000000002E-3</v>
      </c>
      <c r="D84">
        <v>290</v>
      </c>
      <c r="E84">
        <v>3.4602080000000002E-3</v>
      </c>
      <c r="F84">
        <v>-1.4481349999999999E-3</v>
      </c>
      <c r="G84">
        <v>1.4481349999999999E-3</v>
      </c>
      <c r="H84">
        <v>9.3121590000000004E-3</v>
      </c>
      <c r="I84">
        <v>2.1895835999999998E-2</v>
      </c>
      <c r="J84">
        <v>0</v>
      </c>
      <c r="K84">
        <v>0</v>
      </c>
      <c r="L84">
        <v>0</v>
      </c>
      <c r="M84">
        <v>5</v>
      </c>
      <c r="N84">
        <v>2.0028904550000002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W84">
        <v>0</v>
      </c>
      <c r="X84">
        <v>0</v>
      </c>
      <c r="Y84">
        <v>0</v>
      </c>
      <c r="Z84">
        <v>2.1895835999999998E-2</v>
      </c>
      <c r="AA84">
        <v>0</v>
      </c>
      <c r="AB84" t="s">
        <v>33</v>
      </c>
      <c r="AC84">
        <v>0</v>
      </c>
      <c r="AD84">
        <v>0</v>
      </c>
      <c r="AE84">
        <v>0</v>
      </c>
      <c r="AF84">
        <v>0</v>
      </c>
      <c r="AG84">
        <v>0</v>
      </c>
      <c r="AH84">
        <f t="shared" si="1"/>
        <v>0</v>
      </c>
    </row>
    <row r="85" spans="1:34" x14ac:dyDescent="0.25">
      <c r="A85" s="1">
        <v>43601</v>
      </c>
      <c r="B85">
        <v>247</v>
      </c>
      <c r="C85">
        <v>-8.0321290000000007E-3</v>
      </c>
      <c r="D85">
        <v>288</v>
      </c>
      <c r="E85">
        <v>-6.8965520000000002E-3</v>
      </c>
      <c r="F85">
        <v>-1.135577E-3</v>
      </c>
      <c r="G85">
        <v>1.135577E-3</v>
      </c>
      <c r="H85">
        <v>8.9074270000000007E-3</v>
      </c>
      <c r="I85">
        <v>1.9093299000000001E-2</v>
      </c>
      <c r="J85">
        <v>0</v>
      </c>
      <c r="K85">
        <v>0</v>
      </c>
      <c r="L85">
        <v>0</v>
      </c>
      <c r="M85">
        <v>5</v>
      </c>
      <c r="N85">
        <v>1.001144772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W85">
        <v>0</v>
      </c>
      <c r="X85">
        <v>0</v>
      </c>
      <c r="Y85">
        <v>0</v>
      </c>
      <c r="Z85">
        <v>1.9093299000000001E-2</v>
      </c>
      <c r="AA85">
        <v>0</v>
      </c>
      <c r="AB85" t="s">
        <v>33</v>
      </c>
      <c r="AC85">
        <v>0</v>
      </c>
      <c r="AD85">
        <v>0</v>
      </c>
      <c r="AE85">
        <v>0</v>
      </c>
      <c r="AF85">
        <v>0</v>
      </c>
      <c r="AG85">
        <v>0</v>
      </c>
      <c r="AH85">
        <f t="shared" si="1"/>
        <v>0</v>
      </c>
    </row>
    <row r="86" spans="1:34" x14ac:dyDescent="0.25">
      <c r="A86" s="1">
        <v>43602</v>
      </c>
      <c r="B86">
        <v>241.5</v>
      </c>
      <c r="C86">
        <v>-2.2267206000000001E-2</v>
      </c>
      <c r="D86">
        <v>291</v>
      </c>
      <c r="E86">
        <v>1.0416666999999999E-2</v>
      </c>
      <c r="F86">
        <v>-3.2683873000000002E-2</v>
      </c>
      <c r="G86">
        <v>3.2683873000000002E-2</v>
      </c>
      <c r="H86">
        <v>1.0278274E-2</v>
      </c>
      <c r="I86">
        <v>2.0858502000000001E-2</v>
      </c>
      <c r="J86">
        <v>0</v>
      </c>
      <c r="K86">
        <v>1</v>
      </c>
      <c r="L86">
        <v>1</v>
      </c>
      <c r="M86">
        <v>5</v>
      </c>
      <c r="N86">
        <v>0.56368812300000004</v>
      </c>
      <c r="O86">
        <v>3</v>
      </c>
      <c r="P86">
        <v>-5</v>
      </c>
      <c r="Q86">
        <v>8</v>
      </c>
      <c r="R86">
        <v>-724.5</v>
      </c>
      <c r="S86">
        <v>1455</v>
      </c>
      <c r="T86">
        <v>0</v>
      </c>
      <c r="U86">
        <v>0</v>
      </c>
      <c r="V86" t="s">
        <v>34</v>
      </c>
      <c r="W86">
        <v>-724.5</v>
      </c>
      <c r="X86">
        <v>1455</v>
      </c>
      <c r="Y86">
        <v>0</v>
      </c>
      <c r="Z86">
        <v>2.0858502000000001E-2</v>
      </c>
      <c r="AA86">
        <v>2179.5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2179.5</v>
      </c>
      <c r="AH86">
        <f t="shared" si="1"/>
        <v>0</v>
      </c>
    </row>
    <row r="87" spans="1:34" x14ac:dyDescent="0.25">
      <c r="A87" s="1">
        <v>43605</v>
      </c>
      <c r="B87">
        <v>238</v>
      </c>
      <c r="C87">
        <v>-1.4492754E-2</v>
      </c>
      <c r="D87">
        <v>290</v>
      </c>
      <c r="E87">
        <v>-3.4364259999999998E-3</v>
      </c>
      <c r="F87">
        <v>-1.1056328000000001E-2</v>
      </c>
      <c r="G87">
        <v>1.1056328000000001E-2</v>
      </c>
      <c r="H87">
        <v>8.9830250000000004E-3</v>
      </c>
      <c r="I87">
        <v>7.5147269999999997E-3</v>
      </c>
      <c r="J87">
        <v>0</v>
      </c>
      <c r="K87">
        <v>1</v>
      </c>
      <c r="L87">
        <v>0</v>
      </c>
      <c r="M87">
        <v>5</v>
      </c>
      <c r="N87">
        <v>0.28891969200000001</v>
      </c>
      <c r="O87">
        <v>-3</v>
      </c>
      <c r="P87">
        <v>5</v>
      </c>
      <c r="Q87">
        <v>8</v>
      </c>
      <c r="R87">
        <v>714</v>
      </c>
      <c r="S87">
        <v>-1450</v>
      </c>
      <c r="T87">
        <v>-10.5</v>
      </c>
      <c r="U87">
        <v>5</v>
      </c>
      <c r="V87" t="s">
        <v>37</v>
      </c>
      <c r="W87">
        <v>0</v>
      </c>
      <c r="X87">
        <v>0</v>
      </c>
      <c r="Y87">
        <v>0</v>
      </c>
      <c r="Z87">
        <v>8.9830250000000004E-3</v>
      </c>
      <c r="AA87">
        <v>2164</v>
      </c>
      <c r="AB87">
        <v>0</v>
      </c>
      <c r="AC87">
        <v>-5.5</v>
      </c>
      <c r="AD87">
        <v>-2.5415899999999998E-3</v>
      </c>
      <c r="AE87">
        <v>0</v>
      </c>
      <c r="AF87">
        <v>0</v>
      </c>
      <c r="AG87">
        <v>0</v>
      </c>
      <c r="AH87">
        <f t="shared" si="1"/>
        <v>0</v>
      </c>
    </row>
    <row r="88" spans="1:34" x14ac:dyDescent="0.25">
      <c r="A88" s="1">
        <v>43606</v>
      </c>
      <c r="B88">
        <v>234</v>
      </c>
      <c r="C88">
        <v>-1.6806722999999999E-2</v>
      </c>
      <c r="D88">
        <v>290.5</v>
      </c>
      <c r="E88">
        <v>1.7241380000000001E-3</v>
      </c>
      <c r="F88">
        <v>-1.8530860999999999E-2</v>
      </c>
      <c r="G88">
        <v>1.8530860999999999E-2</v>
      </c>
      <c r="H88">
        <v>9.3110410000000008E-3</v>
      </c>
      <c r="I88">
        <v>6.6572070000000001E-3</v>
      </c>
      <c r="J88">
        <v>0</v>
      </c>
      <c r="K88">
        <v>1</v>
      </c>
      <c r="L88">
        <v>0</v>
      </c>
      <c r="M88">
        <v>5</v>
      </c>
      <c r="N88">
        <v>0.12735595299999999</v>
      </c>
      <c r="O88">
        <v>-3</v>
      </c>
      <c r="P88">
        <v>5</v>
      </c>
      <c r="Q88">
        <v>8</v>
      </c>
      <c r="R88">
        <v>702</v>
      </c>
      <c r="S88">
        <v>-1452.5</v>
      </c>
      <c r="T88">
        <v>-22.5</v>
      </c>
      <c r="U88">
        <v>2.5</v>
      </c>
      <c r="V88" t="s">
        <v>37</v>
      </c>
      <c r="W88">
        <v>0</v>
      </c>
      <c r="X88">
        <v>0</v>
      </c>
      <c r="Y88">
        <v>0</v>
      </c>
      <c r="Z88">
        <v>9.3110410000000008E-3</v>
      </c>
      <c r="AA88">
        <v>2154.5</v>
      </c>
      <c r="AB88">
        <v>0</v>
      </c>
      <c r="AC88">
        <v>-20</v>
      </c>
      <c r="AD88">
        <v>-9.2828960000000005E-3</v>
      </c>
      <c r="AE88">
        <v>0</v>
      </c>
      <c r="AF88">
        <v>0</v>
      </c>
      <c r="AG88">
        <v>0</v>
      </c>
      <c r="AH88">
        <f t="shared" si="1"/>
        <v>0</v>
      </c>
    </row>
    <row r="89" spans="1:34" x14ac:dyDescent="0.25">
      <c r="A89" s="1">
        <v>43607</v>
      </c>
      <c r="B89">
        <v>238</v>
      </c>
      <c r="C89">
        <v>1.7094017E-2</v>
      </c>
      <c r="D89">
        <v>287.5</v>
      </c>
      <c r="E89">
        <v>-1.0327022E-2</v>
      </c>
      <c r="F89">
        <v>2.7421039000000001E-2</v>
      </c>
      <c r="G89">
        <v>2.7421039000000001E-2</v>
      </c>
      <c r="H89">
        <v>1.5402268E-2</v>
      </c>
      <c r="I89">
        <v>8.1083769999999999E-3</v>
      </c>
      <c r="J89">
        <v>1</v>
      </c>
      <c r="K89">
        <v>0</v>
      </c>
      <c r="L89">
        <v>-1</v>
      </c>
      <c r="M89">
        <v>5</v>
      </c>
      <c r="N89">
        <v>0.72977986399999994</v>
      </c>
      <c r="O89">
        <v>-3</v>
      </c>
      <c r="P89">
        <v>5</v>
      </c>
      <c r="Q89">
        <v>8</v>
      </c>
      <c r="R89">
        <v>714</v>
      </c>
      <c r="S89">
        <v>-1437.5</v>
      </c>
      <c r="T89">
        <v>-10.5</v>
      </c>
      <c r="U89">
        <v>17.5</v>
      </c>
      <c r="V89" t="s">
        <v>35</v>
      </c>
      <c r="W89">
        <v>714</v>
      </c>
      <c r="X89">
        <v>-1437.5</v>
      </c>
      <c r="Y89">
        <v>7</v>
      </c>
      <c r="Z89">
        <v>1.5402268E-2</v>
      </c>
      <c r="AA89">
        <v>2151.5</v>
      </c>
      <c r="AB89">
        <v>0</v>
      </c>
      <c r="AC89">
        <v>7</v>
      </c>
      <c r="AD89">
        <v>3.2535440000000001E-3</v>
      </c>
      <c r="AE89">
        <v>0</v>
      </c>
      <c r="AF89">
        <v>7</v>
      </c>
      <c r="AG89">
        <v>0</v>
      </c>
      <c r="AH89">
        <f t="shared" si="1"/>
        <v>3.2535440390425285E-3</v>
      </c>
    </row>
    <row r="90" spans="1:34" x14ac:dyDescent="0.25">
      <c r="A90" s="1">
        <v>43608</v>
      </c>
      <c r="B90">
        <v>230</v>
      </c>
      <c r="C90">
        <v>-3.3613444999999999E-2</v>
      </c>
      <c r="D90">
        <v>292</v>
      </c>
      <c r="E90">
        <v>1.5652174000000001E-2</v>
      </c>
      <c r="F90">
        <v>-4.9265618999999997E-2</v>
      </c>
      <c r="G90">
        <v>4.9265618999999997E-2</v>
      </c>
      <c r="H90">
        <v>1.8894383000000001E-2</v>
      </c>
      <c r="I90">
        <v>1.0435049E-2</v>
      </c>
      <c r="J90">
        <v>0</v>
      </c>
      <c r="K90">
        <v>1</v>
      </c>
      <c r="L90">
        <v>1</v>
      </c>
      <c r="M90">
        <v>5</v>
      </c>
      <c r="N90">
        <v>0.59117580300000006</v>
      </c>
      <c r="O90">
        <v>3</v>
      </c>
      <c r="P90">
        <v>-5</v>
      </c>
      <c r="Q90">
        <v>8</v>
      </c>
      <c r="R90">
        <v>-690</v>
      </c>
      <c r="S90">
        <v>1460</v>
      </c>
      <c r="T90">
        <v>0</v>
      </c>
      <c r="U90">
        <v>0</v>
      </c>
      <c r="V90" t="s">
        <v>34</v>
      </c>
      <c r="W90">
        <v>-690</v>
      </c>
      <c r="X90">
        <v>1460</v>
      </c>
      <c r="Y90">
        <v>0</v>
      </c>
      <c r="Z90">
        <v>1.8894383000000001E-2</v>
      </c>
      <c r="AA90">
        <v>2150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2150</v>
      </c>
      <c r="AH90">
        <f t="shared" si="1"/>
        <v>0</v>
      </c>
    </row>
    <row r="91" spans="1:34" x14ac:dyDescent="0.25">
      <c r="A91" s="1">
        <v>43609</v>
      </c>
      <c r="B91">
        <v>233</v>
      </c>
      <c r="C91">
        <v>1.3043478000000001E-2</v>
      </c>
      <c r="D91">
        <v>287</v>
      </c>
      <c r="E91">
        <v>-1.7123288E-2</v>
      </c>
      <c r="F91">
        <v>3.0166766000000001E-2</v>
      </c>
      <c r="G91">
        <v>3.0166766000000001E-2</v>
      </c>
      <c r="H91">
        <v>2.1464163000000001E-2</v>
      </c>
      <c r="I91">
        <v>1.2481189E-2</v>
      </c>
      <c r="J91">
        <v>1</v>
      </c>
      <c r="K91">
        <v>0</v>
      </c>
      <c r="L91">
        <v>-1</v>
      </c>
      <c r="M91">
        <v>5</v>
      </c>
      <c r="N91">
        <v>1.617036079</v>
      </c>
      <c r="O91">
        <v>-3</v>
      </c>
      <c r="P91">
        <v>5</v>
      </c>
      <c r="Q91">
        <v>8</v>
      </c>
      <c r="R91">
        <v>699</v>
      </c>
      <c r="S91">
        <v>-1435</v>
      </c>
      <c r="T91">
        <v>9</v>
      </c>
      <c r="U91">
        <v>25</v>
      </c>
      <c r="V91" t="s">
        <v>35</v>
      </c>
      <c r="W91">
        <v>699</v>
      </c>
      <c r="X91">
        <v>-1435</v>
      </c>
      <c r="Y91">
        <v>34</v>
      </c>
      <c r="Z91">
        <v>2.1464163000000001E-2</v>
      </c>
      <c r="AA91">
        <v>2134</v>
      </c>
      <c r="AB91">
        <v>0</v>
      </c>
      <c r="AC91">
        <v>34</v>
      </c>
      <c r="AD91">
        <v>1.5932521000000002E-2</v>
      </c>
      <c r="AE91">
        <v>0</v>
      </c>
      <c r="AF91">
        <v>34</v>
      </c>
      <c r="AG91">
        <v>0</v>
      </c>
      <c r="AH91">
        <f t="shared" si="1"/>
        <v>1.5932521087160263E-2</v>
      </c>
    </row>
    <row r="92" spans="1:34" x14ac:dyDescent="0.25">
      <c r="A92" s="1">
        <v>43612</v>
      </c>
      <c r="B92">
        <v>231</v>
      </c>
      <c r="C92">
        <v>-8.5836909999999992E-3</v>
      </c>
      <c r="D92">
        <v>281</v>
      </c>
      <c r="E92">
        <v>-2.0905923E-2</v>
      </c>
      <c r="F92">
        <v>1.2322232000000001E-2</v>
      </c>
      <c r="G92">
        <v>1.2322232000000001E-2</v>
      </c>
      <c r="H92">
        <v>2.1105057E-2</v>
      </c>
      <c r="I92">
        <v>1.4940917999999999E-2</v>
      </c>
      <c r="J92">
        <v>1</v>
      </c>
      <c r="K92">
        <v>0</v>
      </c>
      <c r="L92">
        <v>0</v>
      </c>
      <c r="M92">
        <v>5</v>
      </c>
      <c r="N92">
        <v>2.9627132450000002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W92">
        <v>0</v>
      </c>
      <c r="X92">
        <v>0</v>
      </c>
      <c r="Y92">
        <v>0</v>
      </c>
      <c r="Z92">
        <v>2.1105057E-2</v>
      </c>
      <c r="AA92">
        <v>0</v>
      </c>
      <c r="AB92" t="s">
        <v>33</v>
      </c>
      <c r="AC92">
        <v>0</v>
      </c>
      <c r="AD92">
        <v>0</v>
      </c>
      <c r="AE92">
        <v>0</v>
      </c>
      <c r="AF92">
        <v>0</v>
      </c>
      <c r="AG92">
        <v>0</v>
      </c>
      <c r="AH92">
        <f t="shared" si="1"/>
        <v>0</v>
      </c>
    </row>
    <row r="93" spans="1:34" x14ac:dyDescent="0.25">
      <c r="A93" s="1">
        <v>43613</v>
      </c>
      <c r="B93">
        <v>230.5</v>
      </c>
      <c r="C93">
        <v>-2.164502E-3</v>
      </c>
      <c r="D93">
        <v>280.5</v>
      </c>
      <c r="E93">
        <v>-1.7793590000000001E-3</v>
      </c>
      <c r="F93">
        <v>-3.8514300000000001E-4</v>
      </c>
      <c r="G93">
        <v>3.8514300000000001E-4</v>
      </c>
      <c r="H93">
        <v>2.0187255000000001E-2</v>
      </c>
      <c r="I93">
        <v>1.4553758E-2</v>
      </c>
      <c r="J93">
        <v>0</v>
      </c>
      <c r="K93">
        <v>0</v>
      </c>
      <c r="L93">
        <v>0</v>
      </c>
      <c r="M93">
        <v>5</v>
      </c>
      <c r="N93">
        <v>1.000385978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W93">
        <v>0</v>
      </c>
      <c r="X93">
        <v>0</v>
      </c>
      <c r="Y93">
        <v>0</v>
      </c>
      <c r="Z93">
        <v>2.0187255000000001E-2</v>
      </c>
      <c r="AA93">
        <v>0</v>
      </c>
      <c r="AB93" t="s">
        <v>33</v>
      </c>
      <c r="AC93">
        <v>0</v>
      </c>
      <c r="AD93">
        <v>0</v>
      </c>
      <c r="AE93">
        <v>0</v>
      </c>
      <c r="AF93">
        <v>0</v>
      </c>
      <c r="AG93">
        <v>0</v>
      </c>
      <c r="AH93">
        <f t="shared" si="1"/>
        <v>0</v>
      </c>
    </row>
    <row r="94" spans="1:34" x14ac:dyDescent="0.25">
      <c r="A94" s="1">
        <v>43614</v>
      </c>
      <c r="B94">
        <v>229.5</v>
      </c>
      <c r="C94">
        <v>-4.3383950000000001E-3</v>
      </c>
      <c r="D94">
        <v>280.5</v>
      </c>
      <c r="E94">
        <v>0</v>
      </c>
      <c r="F94">
        <v>-4.3383950000000001E-3</v>
      </c>
      <c r="G94">
        <v>4.3383950000000001E-3</v>
      </c>
      <c r="H94">
        <v>1.6903436000000001E-2</v>
      </c>
      <c r="I94">
        <v>1.4677491000000001E-2</v>
      </c>
      <c r="J94">
        <v>0</v>
      </c>
      <c r="K94">
        <v>0</v>
      </c>
      <c r="L94">
        <v>0</v>
      </c>
      <c r="M94">
        <v>5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W94">
        <v>0</v>
      </c>
      <c r="X94">
        <v>0</v>
      </c>
      <c r="Y94">
        <v>0</v>
      </c>
      <c r="Z94">
        <v>1.6903436000000001E-2</v>
      </c>
      <c r="AA94">
        <v>0</v>
      </c>
      <c r="AB94" t="s">
        <v>33</v>
      </c>
      <c r="AC94">
        <v>0</v>
      </c>
      <c r="AD94">
        <v>0</v>
      </c>
      <c r="AE94">
        <v>0</v>
      </c>
      <c r="AF94">
        <v>0</v>
      </c>
      <c r="AG94">
        <v>0</v>
      </c>
      <c r="AH94">
        <f t="shared" si="1"/>
        <v>0</v>
      </c>
    </row>
    <row r="95" spans="1:34" x14ac:dyDescent="0.25">
      <c r="A95" s="1">
        <v>43615</v>
      </c>
      <c r="B95">
        <v>231</v>
      </c>
      <c r="C95">
        <v>6.5359479999999998E-3</v>
      </c>
      <c r="D95">
        <v>296.5</v>
      </c>
      <c r="E95">
        <v>5.7040998000000002E-2</v>
      </c>
      <c r="F95">
        <v>-5.0505051000000002E-2</v>
      </c>
      <c r="G95">
        <v>5.0505051000000002E-2</v>
      </c>
      <c r="H95">
        <v>8.7464320000000002E-3</v>
      </c>
      <c r="I95">
        <v>3.1335742E-2</v>
      </c>
      <c r="J95">
        <v>0</v>
      </c>
      <c r="K95">
        <v>1</v>
      </c>
      <c r="L95">
        <v>1</v>
      </c>
      <c r="M95">
        <v>5</v>
      </c>
      <c r="N95">
        <v>11.201889019999999</v>
      </c>
      <c r="O95">
        <v>57</v>
      </c>
      <c r="P95">
        <v>-5</v>
      </c>
      <c r="Q95">
        <v>62</v>
      </c>
      <c r="R95">
        <v>-13167</v>
      </c>
      <c r="S95">
        <v>1482.5</v>
      </c>
      <c r="T95">
        <v>0</v>
      </c>
      <c r="U95">
        <v>0</v>
      </c>
      <c r="V95" t="s">
        <v>34</v>
      </c>
      <c r="W95">
        <v>-13167</v>
      </c>
      <c r="X95">
        <v>1482.5</v>
      </c>
      <c r="Y95">
        <v>0</v>
      </c>
      <c r="Z95">
        <v>3.1335742E-2</v>
      </c>
      <c r="AA95">
        <v>14649.5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14649.5</v>
      </c>
      <c r="AH95">
        <f t="shared" si="1"/>
        <v>0</v>
      </c>
    </row>
    <row r="96" spans="1:34" x14ac:dyDescent="0.25">
      <c r="A96" s="1">
        <v>43616</v>
      </c>
      <c r="B96">
        <v>235.5</v>
      </c>
      <c r="C96">
        <v>1.9480519000000002E-2</v>
      </c>
      <c r="D96">
        <v>311</v>
      </c>
      <c r="E96">
        <v>4.8903878999999997E-2</v>
      </c>
      <c r="F96">
        <v>-2.9423359E-2</v>
      </c>
      <c r="G96">
        <v>2.9423359E-2</v>
      </c>
      <c r="H96">
        <v>1.1129952E-2</v>
      </c>
      <c r="I96">
        <v>3.4274831999999998E-2</v>
      </c>
      <c r="J96">
        <v>0</v>
      </c>
      <c r="K96">
        <v>1</v>
      </c>
      <c r="L96">
        <v>0</v>
      </c>
      <c r="M96">
        <v>5</v>
      </c>
      <c r="N96">
        <v>3.315219194</v>
      </c>
      <c r="O96">
        <v>-57</v>
      </c>
      <c r="P96">
        <v>5</v>
      </c>
      <c r="Q96">
        <v>62</v>
      </c>
      <c r="R96">
        <v>13423.5</v>
      </c>
      <c r="S96">
        <v>-1555</v>
      </c>
      <c r="T96">
        <v>256.5</v>
      </c>
      <c r="U96">
        <v>-72.5</v>
      </c>
      <c r="V96" t="s">
        <v>37</v>
      </c>
      <c r="W96">
        <v>0</v>
      </c>
      <c r="X96">
        <v>0</v>
      </c>
      <c r="Y96">
        <v>0</v>
      </c>
      <c r="Z96">
        <v>3.4274831999999998E-2</v>
      </c>
      <c r="AA96">
        <v>14978.5</v>
      </c>
      <c r="AB96">
        <v>0</v>
      </c>
      <c r="AC96">
        <v>184</v>
      </c>
      <c r="AD96">
        <v>1.2284274E-2</v>
      </c>
      <c r="AE96">
        <v>0</v>
      </c>
      <c r="AF96">
        <v>0</v>
      </c>
      <c r="AG96">
        <v>0</v>
      </c>
      <c r="AH96">
        <f t="shared" si="1"/>
        <v>0</v>
      </c>
    </row>
    <row r="97" spans="1:34" x14ac:dyDescent="0.25">
      <c r="A97" s="1">
        <v>43619</v>
      </c>
      <c r="B97">
        <v>238</v>
      </c>
      <c r="C97">
        <v>1.0615711E-2</v>
      </c>
      <c r="D97">
        <v>314</v>
      </c>
      <c r="E97">
        <v>9.6463020000000007E-3</v>
      </c>
      <c r="F97">
        <v>9.6940899999999996E-4</v>
      </c>
      <c r="G97">
        <v>9.6940899999999996E-4</v>
      </c>
      <c r="H97">
        <v>9.7063719999999996E-3</v>
      </c>
      <c r="I97">
        <v>2.8066243000000001E-2</v>
      </c>
      <c r="J97">
        <v>1</v>
      </c>
      <c r="K97">
        <v>0</v>
      </c>
      <c r="L97">
        <v>-1</v>
      </c>
      <c r="M97">
        <v>5</v>
      </c>
      <c r="N97">
        <v>1.198848929</v>
      </c>
      <c r="O97">
        <v>-57</v>
      </c>
      <c r="P97">
        <v>5</v>
      </c>
      <c r="Q97">
        <v>62</v>
      </c>
      <c r="R97">
        <v>13566</v>
      </c>
      <c r="S97">
        <v>-1570</v>
      </c>
      <c r="T97">
        <v>399</v>
      </c>
      <c r="U97">
        <v>-87.5</v>
      </c>
      <c r="V97" t="s">
        <v>35</v>
      </c>
      <c r="W97">
        <v>13566</v>
      </c>
      <c r="X97">
        <v>-1570</v>
      </c>
      <c r="Y97">
        <v>311.5</v>
      </c>
      <c r="Z97">
        <v>2.8066243000000001E-2</v>
      </c>
      <c r="AA97">
        <v>15136</v>
      </c>
      <c r="AB97">
        <v>0</v>
      </c>
      <c r="AC97">
        <v>311.5</v>
      </c>
      <c r="AD97">
        <v>2.0580074E-2</v>
      </c>
      <c r="AE97">
        <v>0</v>
      </c>
      <c r="AF97">
        <v>311.5</v>
      </c>
      <c r="AG97">
        <v>0</v>
      </c>
      <c r="AH97">
        <f t="shared" si="1"/>
        <v>2.0580073995771671E-2</v>
      </c>
    </row>
    <row r="98" spans="1:34" x14ac:dyDescent="0.25">
      <c r="A98" s="1">
        <v>43620</v>
      </c>
      <c r="B98">
        <v>233</v>
      </c>
      <c r="C98">
        <v>-2.1008402999999998E-2</v>
      </c>
      <c r="D98">
        <v>311</v>
      </c>
      <c r="E98">
        <v>-9.5541399999999992E-3</v>
      </c>
      <c r="F98">
        <v>-1.1454262999999999E-2</v>
      </c>
      <c r="G98">
        <v>1.1454262999999999E-2</v>
      </c>
      <c r="H98">
        <v>1.5569243E-2</v>
      </c>
      <c r="I98">
        <v>2.9920005E-2</v>
      </c>
      <c r="J98">
        <v>0</v>
      </c>
      <c r="K98">
        <v>0</v>
      </c>
      <c r="L98">
        <v>0</v>
      </c>
      <c r="M98">
        <v>5</v>
      </c>
      <c r="N98">
        <v>0.60702003800000004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W98">
        <v>0</v>
      </c>
      <c r="X98">
        <v>0</v>
      </c>
      <c r="Y98">
        <v>0</v>
      </c>
      <c r="Z98">
        <v>2.9920005E-2</v>
      </c>
      <c r="AA98">
        <v>0</v>
      </c>
      <c r="AB98" t="s">
        <v>33</v>
      </c>
      <c r="AC98">
        <v>0</v>
      </c>
      <c r="AD98">
        <v>0</v>
      </c>
      <c r="AE98">
        <v>0</v>
      </c>
      <c r="AF98">
        <v>0</v>
      </c>
      <c r="AG98">
        <v>0</v>
      </c>
      <c r="AH98">
        <f t="shared" si="1"/>
        <v>0</v>
      </c>
    </row>
    <row r="99" spans="1:34" x14ac:dyDescent="0.25">
      <c r="A99" s="1">
        <v>43621</v>
      </c>
      <c r="B99">
        <v>235</v>
      </c>
      <c r="C99">
        <v>8.5836909999999992E-3</v>
      </c>
      <c r="D99">
        <v>313</v>
      </c>
      <c r="E99">
        <v>6.4308680000000002E-3</v>
      </c>
      <c r="F99">
        <v>2.1528229999999999E-3</v>
      </c>
      <c r="G99">
        <v>2.1528229999999999E-3</v>
      </c>
      <c r="H99">
        <v>1.5270356000000001E-2</v>
      </c>
      <c r="I99">
        <v>2.8901329999999999E-2</v>
      </c>
      <c r="J99">
        <v>1</v>
      </c>
      <c r="K99">
        <v>0</v>
      </c>
      <c r="L99">
        <v>0</v>
      </c>
      <c r="M99">
        <v>5</v>
      </c>
      <c r="N99">
        <v>0.99786549899999999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W99">
        <v>0</v>
      </c>
      <c r="X99">
        <v>0</v>
      </c>
      <c r="Y99">
        <v>0</v>
      </c>
      <c r="Z99">
        <v>2.8901329999999999E-2</v>
      </c>
      <c r="AA99">
        <v>0</v>
      </c>
      <c r="AB99" t="s">
        <v>33</v>
      </c>
      <c r="AC99">
        <v>0</v>
      </c>
      <c r="AD99">
        <v>0</v>
      </c>
      <c r="AE99">
        <v>0</v>
      </c>
      <c r="AF99">
        <v>0</v>
      </c>
      <c r="AG99">
        <v>0</v>
      </c>
      <c r="AH99">
        <f t="shared" si="1"/>
        <v>0</v>
      </c>
    </row>
    <row r="100" spans="1:34" x14ac:dyDescent="0.25">
      <c r="A100" s="1">
        <v>43622</v>
      </c>
      <c r="B100">
        <v>232</v>
      </c>
      <c r="C100">
        <v>-1.2765957E-2</v>
      </c>
      <c r="D100">
        <v>307</v>
      </c>
      <c r="E100">
        <v>-1.9169328999999999E-2</v>
      </c>
      <c r="F100">
        <v>6.4033720000000001E-3</v>
      </c>
      <c r="G100">
        <v>6.4033720000000001E-3</v>
      </c>
      <c r="H100">
        <v>1.7068784E-2</v>
      </c>
      <c r="I100">
        <v>2.6085527000000001E-2</v>
      </c>
      <c r="J100">
        <v>1</v>
      </c>
      <c r="K100">
        <v>0</v>
      </c>
      <c r="L100">
        <v>0</v>
      </c>
      <c r="M100">
        <v>5</v>
      </c>
      <c r="N100">
        <v>1.9870276520000001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W100">
        <v>0</v>
      </c>
      <c r="X100">
        <v>0</v>
      </c>
      <c r="Y100">
        <v>0</v>
      </c>
      <c r="Z100">
        <v>2.6085527000000001E-2</v>
      </c>
      <c r="AA100">
        <v>0</v>
      </c>
      <c r="AB100" t="s">
        <v>33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f t="shared" si="1"/>
        <v>0</v>
      </c>
    </row>
    <row r="101" spans="1:34" x14ac:dyDescent="0.25">
      <c r="A101" s="1">
        <v>43626</v>
      </c>
      <c r="B101">
        <v>240</v>
      </c>
      <c r="C101">
        <v>3.4482759000000002E-2</v>
      </c>
      <c r="D101">
        <v>316</v>
      </c>
      <c r="E101">
        <v>2.9315961000000001E-2</v>
      </c>
      <c r="F101">
        <v>5.1667980000000002E-3</v>
      </c>
      <c r="G101">
        <v>5.1667980000000002E-3</v>
      </c>
      <c r="H101">
        <v>2.1797318E-2</v>
      </c>
      <c r="I101">
        <v>1.8688244999999999E-2</v>
      </c>
      <c r="J101">
        <v>1</v>
      </c>
      <c r="K101">
        <v>0</v>
      </c>
      <c r="L101">
        <v>0</v>
      </c>
      <c r="M101">
        <v>5</v>
      </c>
      <c r="N101">
        <v>1.1193811069999999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W101">
        <v>0</v>
      </c>
      <c r="X101">
        <v>0</v>
      </c>
      <c r="Y101">
        <v>0</v>
      </c>
      <c r="Z101">
        <v>2.1797318E-2</v>
      </c>
      <c r="AA101">
        <v>0</v>
      </c>
      <c r="AB101" t="s">
        <v>33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f t="shared" si="1"/>
        <v>0</v>
      </c>
    </row>
    <row r="102" spans="1:34" x14ac:dyDescent="0.25">
      <c r="A102" s="1">
        <v>43627</v>
      </c>
      <c r="B102">
        <v>244.5</v>
      </c>
      <c r="C102">
        <v>1.8749999999999999E-2</v>
      </c>
      <c r="D102">
        <v>308</v>
      </c>
      <c r="E102">
        <v>-2.5316456000000001E-2</v>
      </c>
      <c r="F102">
        <v>4.4066455999999997E-2</v>
      </c>
      <c r="G102">
        <v>4.4066455999999997E-2</v>
      </c>
      <c r="H102">
        <v>2.2701066999999998E-2</v>
      </c>
      <c r="I102">
        <v>2.1985915000000002E-2</v>
      </c>
      <c r="J102">
        <v>1</v>
      </c>
      <c r="K102">
        <v>1</v>
      </c>
      <c r="L102">
        <v>1</v>
      </c>
      <c r="M102">
        <v>5</v>
      </c>
      <c r="N102">
        <v>1.7008792589999999</v>
      </c>
      <c r="O102">
        <v>-9</v>
      </c>
      <c r="P102">
        <v>5</v>
      </c>
      <c r="Q102">
        <v>14</v>
      </c>
      <c r="R102">
        <v>2200.5</v>
      </c>
      <c r="S102">
        <v>-1540</v>
      </c>
      <c r="T102">
        <v>0</v>
      </c>
      <c r="U102">
        <v>0</v>
      </c>
      <c r="V102" t="s">
        <v>34</v>
      </c>
      <c r="W102">
        <v>2200.5</v>
      </c>
      <c r="X102">
        <v>-1540</v>
      </c>
      <c r="Y102">
        <v>0</v>
      </c>
      <c r="Z102">
        <v>2.2701066999999998E-2</v>
      </c>
      <c r="AA102">
        <v>3740.5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3740.5</v>
      </c>
      <c r="AH102">
        <f t="shared" si="1"/>
        <v>0</v>
      </c>
    </row>
    <row r="103" spans="1:34" x14ac:dyDescent="0.25">
      <c r="A103" s="1">
        <v>43628</v>
      </c>
      <c r="B103">
        <v>246</v>
      </c>
      <c r="C103">
        <v>6.1349689999999997E-3</v>
      </c>
      <c r="D103">
        <v>309.5</v>
      </c>
      <c r="E103">
        <v>4.8701300000000003E-3</v>
      </c>
      <c r="F103">
        <v>1.264839E-3</v>
      </c>
      <c r="G103">
        <v>1.264839E-3</v>
      </c>
      <c r="H103">
        <v>1.7362484000000001E-2</v>
      </c>
      <c r="I103">
        <v>2.1965269999999999E-2</v>
      </c>
      <c r="J103">
        <v>1</v>
      </c>
      <c r="K103">
        <v>1</v>
      </c>
      <c r="L103">
        <v>0</v>
      </c>
      <c r="M103">
        <v>5</v>
      </c>
      <c r="N103">
        <v>0.99874287299999998</v>
      </c>
      <c r="O103">
        <v>9</v>
      </c>
      <c r="P103">
        <v>-5</v>
      </c>
      <c r="Q103">
        <v>14</v>
      </c>
      <c r="R103">
        <v>-2214</v>
      </c>
      <c r="S103">
        <v>1547.5</v>
      </c>
      <c r="T103">
        <v>-13.5</v>
      </c>
      <c r="U103">
        <v>7.5</v>
      </c>
      <c r="V103" t="s">
        <v>37</v>
      </c>
      <c r="W103">
        <v>0</v>
      </c>
      <c r="X103">
        <v>0</v>
      </c>
      <c r="Y103">
        <v>0</v>
      </c>
      <c r="Z103">
        <v>2.1965269999999999E-2</v>
      </c>
      <c r="AA103">
        <v>3761.5</v>
      </c>
      <c r="AB103">
        <v>0</v>
      </c>
      <c r="AC103">
        <v>-6</v>
      </c>
      <c r="AD103">
        <v>-1.595108E-3</v>
      </c>
      <c r="AE103">
        <v>0</v>
      </c>
      <c r="AF103">
        <v>0</v>
      </c>
      <c r="AG103">
        <v>0</v>
      </c>
      <c r="AH103">
        <f t="shared" si="1"/>
        <v>0</v>
      </c>
    </row>
    <row r="104" spans="1:34" x14ac:dyDescent="0.25">
      <c r="A104" s="1">
        <v>43629</v>
      </c>
      <c r="B104">
        <v>240</v>
      </c>
      <c r="C104">
        <v>-2.4390243999999998E-2</v>
      </c>
      <c r="D104">
        <v>309.5</v>
      </c>
      <c r="E104">
        <v>0</v>
      </c>
      <c r="F104">
        <v>-2.4390243999999998E-2</v>
      </c>
      <c r="G104">
        <v>2.4390243999999998E-2</v>
      </c>
      <c r="H104">
        <v>2.3650814999999999E-2</v>
      </c>
      <c r="I104">
        <v>2.1623558000000001E-2</v>
      </c>
      <c r="J104">
        <v>0</v>
      </c>
      <c r="K104">
        <v>0</v>
      </c>
      <c r="L104">
        <v>-1</v>
      </c>
      <c r="M104">
        <v>5</v>
      </c>
      <c r="N104">
        <v>0</v>
      </c>
      <c r="O104">
        <v>9</v>
      </c>
      <c r="P104">
        <v>-5</v>
      </c>
      <c r="Q104">
        <v>14</v>
      </c>
      <c r="R104">
        <v>-2160</v>
      </c>
      <c r="S104">
        <v>1547.5</v>
      </c>
      <c r="T104">
        <v>40.5</v>
      </c>
      <c r="U104">
        <v>7.5</v>
      </c>
      <c r="V104" t="s">
        <v>35</v>
      </c>
      <c r="W104">
        <v>-2160</v>
      </c>
      <c r="X104">
        <v>1547.5</v>
      </c>
      <c r="Y104">
        <v>48</v>
      </c>
      <c r="Z104">
        <v>2.3650814999999999E-2</v>
      </c>
      <c r="AA104">
        <v>3707.5</v>
      </c>
      <c r="AB104">
        <v>0</v>
      </c>
      <c r="AC104">
        <v>48</v>
      </c>
      <c r="AD104">
        <v>1.294673E-2</v>
      </c>
      <c r="AE104">
        <v>0</v>
      </c>
      <c r="AF104">
        <v>48</v>
      </c>
      <c r="AG104">
        <v>0</v>
      </c>
      <c r="AH104">
        <f t="shared" si="1"/>
        <v>1.2946729602157788E-2</v>
      </c>
    </row>
    <row r="105" spans="1:34" x14ac:dyDescent="0.25">
      <c r="A105" s="1">
        <v>43630</v>
      </c>
      <c r="B105">
        <v>236</v>
      </c>
      <c r="C105">
        <v>-1.6666667E-2</v>
      </c>
      <c r="D105">
        <v>307</v>
      </c>
      <c r="E105">
        <v>-8.0775440000000007E-3</v>
      </c>
      <c r="F105">
        <v>-8.5891219999999994E-3</v>
      </c>
      <c r="G105">
        <v>8.5891219999999994E-3</v>
      </c>
      <c r="H105">
        <v>2.4412422999999999E-2</v>
      </c>
      <c r="I105">
        <v>1.9932310000000002E-2</v>
      </c>
      <c r="J105">
        <v>0</v>
      </c>
      <c r="K105">
        <v>0</v>
      </c>
      <c r="L105">
        <v>0</v>
      </c>
      <c r="M105">
        <v>5</v>
      </c>
      <c r="N105">
        <v>0.630459188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W105">
        <v>0</v>
      </c>
      <c r="X105">
        <v>0</v>
      </c>
      <c r="Y105">
        <v>0</v>
      </c>
      <c r="Z105">
        <v>2.4412422999999999E-2</v>
      </c>
      <c r="AA105">
        <v>0</v>
      </c>
      <c r="AB105" t="s">
        <v>33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f t="shared" si="1"/>
        <v>0</v>
      </c>
    </row>
    <row r="106" spans="1:34" x14ac:dyDescent="0.25">
      <c r="A106" s="1">
        <v>43633</v>
      </c>
      <c r="B106">
        <v>233</v>
      </c>
      <c r="C106">
        <v>-1.2711864E-2</v>
      </c>
      <c r="D106">
        <v>300.5</v>
      </c>
      <c r="E106">
        <v>-2.1172638000000001E-2</v>
      </c>
      <c r="F106">
        <v>8.4607740000000008E-3</v>
      </c>
      <c r="G106">
        <v>8.4607740000000008E-3</v>
      </c>
      <c r="H106">
        <v>1.7724268000000001E-2</v>
      </c>
      <c r="I106">
        <v>1.3078798000000001E-2</v>
      </c>
      <c r="J106">
        <v>1</v>
      </c>
      <c r="K106">
        <v>0</v>
      </c>
      <c r="L106">
        <v>0</v>
      </c>
      <c r="M106">
        <v>5</v>
      </c>
      <c r="N106">
        <v>2.1480989589999999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W106">
        <v>0</v>
      </c>
      <c r="X106">
        <v>0</v>
      </c>
      <c r="Y106">
        <v>0</v>
      </c>
      <c r="Z106">
        <v>1.7724268000000001E-2</v>
      </c>
      <c r="AA106">
        <v>0</v>
      </c>
      <c r="AB106" t="s">
        <v>33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f t="shared" si="1"/>
        <v>0</v>
      </c>
    </row>
    <row r="107" spans="1:34" x14ac:dyDescent="0.25">
      <c r="A107" s="1">
        <v>43634</v>
      </c>
      <c r="B107">
        <v>235.5</v>
      </c>
      <c r="C107">
        <v>1.0729614E-2</v>
      </c>
      <c r="D107">
        <v>308.5</v>
      </c>
      <c r="E107">
        <v>2.6622296E-2</v>
      </c>
      <c r="F107">
        <v>-1.5892682000000002E-2</v>
      </c>
      <c r="G107">
        <v>1.5892682000000002E-2</v>
      </c>
      <c r="H107">
        <v>1.5121440999999999E-2</v>
      </c>
      <c r="I107">
        <v>1.7642184000000002E-2</v>
      </c>
      <c r="J107">
        <v>0</v>
      </c>
      <c r="K107">
        <v>0</v>
      </c>
      <c r="L107">
        <v>0</v>
      </c>
      <c r="M107">
        <v>5</v>
      </c>
      <c r="N107">
        <v>3.2503167049999999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W107">
        <v>0</v>
      </c>
      <c r="X107">
        <v>0</v>
      </c>
      <c r="Y107">
        <v>0</v>
      </c>
      <c r="Z107">
        <v>1.7642184000000002E-2</v>
      </c>
      <c r="AA107">
        <v>0</v>
      </c>
      <c r="AB107" t="s">
        <v>33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f t="shared" si="1"/>
        <v>0</v>
      </c>
    </row>
    <row r="108" spans="1:34" x14ac:dyDescent="0.25">
      <c r="A108" s="1">
        <v>43635</v>
      </c>
      <c r="B108">
        <v>244</v>
      </c>
      <c r="C108">
        <v>3.6093418000000002E-2</v>
      </c>
      <c r="D108">
        <v>308.5</v>
      </c>
      <c r="E108">
        <v>0</v>
      </c>
      <c r="F108">
        <v>3.6093418000000002E-2</v>
      </c>
      <c r="G108">
        <v>3.6093418000000002E-2</v>
      </c>
      <c r="H108">
        <v>2.4710645999999999E-2</v>
      </c>
      <c r="I108">
        <v>1.7470638E-2</v>
      </c>
      <c r="J108">
        <v>1</v>
      </c>
      <c r="K108">
        <v>0</v>
      </c>
      <c r="L108">
        <v>0</v>
      </c>
      <c r="M108">
        <v>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W108">
        <v>0</v>
      </c>
      <c r="X108">
        <v>0</v>
      </c>
      <c r="Y108">
        <v>0</v>
      </c>
      <c r="Z108">
        <v>2.4710645999999999E-2</v>
      </c>
      <c r="AA108">
        <v>0</v>
      </c>
      <c r="AB108" t="s">
        <v>33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f t="shared" si="1"/>
        <v>0</v>
      </c>
    </row>
    <row r="109" spans="1:34" x14ac:dyDescent="0.25">
      <c r="A109" s="1">
        <v>43636</v>
      </c>
      <c r="B109">
        <v>245</v>
      </c>
      <c r="C109">
        <v>4.098361E-3</v>
      </c>
      <c r="D109">
        <v>310</v>
      </c>
      <c r="E109">
        <v>4.8622370000000002E-3</v>
      </c>
      <c r="F109">
        <v>-7.6387600000000003E-4</v>
      </c>
      <c r="G109">
        <v>7.6387600000000003E-4</v>
      </c>
      <c r="H109">
        <v>2.110217E-2</v>
      </c>
      <c r="I109">
        <v>1.7641690000000002E-2</v>
      </c>
      <c r="J109">
        <v>0</v>
      </c>
      <c r="K109">
        <v>0</v>
      </c>
      <c r="L109">
        <v>0</v>
      </c>
      <c r="M109">
        <v>5</v>
      </c>
      <c r="N109">
        <v>1.5011411370000001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W109">
        <v>0</v>
      </c>
      <c r="X109">
        <v>0</v>
      </c>
      <c r="Y109">
        <v>0</v>
      </c>
      <c r="Z109">
        <v>2.110217E-2</v>
      </c>
      <c r="AA109">
        <v>0</v>
      </c>
      <c r="AB109" t="s">
        <v>33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f t="shared" si="1"/>
        <v>0</v>
      </c>
    </row>
    <row r="110" spans="1:34" x14ac:dyDescent="0.25">
      <c r="A110" s="1">
        <v>43637</v>
      </c>
      <c r="B110">
        <v>248.5</v>
      </c>
      <c r="C110">
        <v>1.4285714E-2</v>
      </c>
      <c r="D110">
        <v>313.5</v>
      </c>
      <c r="E110">
        <v>1.1290323E-2</v>
      </c>
      <c r="F110">
        <v>2.9953919999999999E-3</v>
      </c>
      <c r="G110">
        <v>2.9953919999999999E-3</v>
      </c>
      <c r="H110">
        <v>1.7671863999999999E-2</v>
      </c>
      <c r="I110">
        <v>1.7427054000000001E-2</v>
      </c>
      <c r="J110">
        <v>1</v>
      </c>
      <c r="K110">
        <v>0</v>
      </c>
      <c r="L110">
        <v>0</v>
      </c>
      <c r="M110">
        <v>5</v>
      </c>
      <c r="N110">
        <v>0.99704679699999998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W110">
        <v>0</v>
      </c>
      <c r="X110">
        <v>0</v>
      </c>
      <c r="Y110">
        <v>0</v>
      </c>
      <c r="Z110">
        <v>1.7671863999999999E-2</v>
      </c>
      <c r="AA110">
        <v>0</v>
      </c>
      <c r="AB110" t="s">
        <v>33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f t="shared" si="1"/>
        <v>0</v>
      </c>
    </row>
    <row r="111" spans="1:34" x14ac:dyDescent="0.25">
      <c r="A111" s="1">
        <v>43640</v>
      </c>
      <c r="B111">
        <v>241</v>
      </c>
      <c r="C111">
        <v>-3.0181086999999999E-2</v>
      </c>
      <c r="D111">
        <v>315.5</v>
      </c>
      <c r="E111">
        <v>6.3795850000000001E-3</v>
      </c>
      <c r="F111">
        <v>-3.6560672000000002E-2</v>
      </c>
      <c r="G111">
        <v>3.6560672000000002E-2</v>
      </c>
      <c r="H111">
        <v>2.4001412E-2</v>
      </c>
      <c r="I111">
        <v>1.0214288E-2</v>
      </c>
      <c r="J111">
        <v>0</v>
      </c>
      <c r="K111">
        <v>1</v>
      </c>
      <c r="L111">
        <v>1</v>
      </c>
      <c r="M111">
        <v>5</v>
      </c>
      <c r="N111">
        <v>0.27671958699999999</v>
      </c>
      <c r="O111">
        <v>2</v>
      </c>
      <c r="P111">
        <v>-5</v>
      </c>
      <c r="Q111">
        <v>7</v>
      </c>
      <c r="R111">
        <v>-482</v>
      </c>
      <c r="S111">
        <v>1577.5</v>
      </c>
      <c r="T111">
        <v>0</v>
      </c>
      <c r="U111">
        <v>0</v>
      </c>
      <c r="V111" t="s">
        <v>34</v>
      </c>
      <c r="W111">
        <v>-482</v>
      </c>
      <c r="X111">
        <v>1577.5</v>
      </c>
      <c r="Y111">
        <v>0</v>
      </c>
      <c r="Z111">
        <v>2.4001412E-2</v>
      </c>
      <c r="AA111">
        <v>2059.5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2059.5</v>
      </c>
      <c r="AH111">
        <f t="shared" si="1"/>
        <v>0</v>
      </c>
    </row>
    <row r="112" spans="1:34" x14ac:dyDescent="0.25">
      <c r="A112" s="1">
        <v>43641</v>
      </c>
      <c r="B112">
        <v>238.5</v>
      </c>
      <c r="C112">
        <v>-1.0373444000000001E-2</v>
      </c>
      <c r="D112">
        <v>311.5</v>
      </c>
      <c r="E112">
        <v>-1.2678287999999999E-2</v>
      </c>
      <c r="F112">
        <v>2.3048439999999999E-3</v>
      </c>
      <c r="G112">
        <v>2.3048439999999999E-3</v>
      </c>
      <c r="H112">
        <v>2.5016742000000002E-2</v>
      </c>
      <c r="I112">
        <v>9.1259400000000008E-3</v>
      </c>
      <c r="J112">
        <v>1</v>
      </c>
      <c r="K112">
        <v>0</v>
      </c>
      <c r="L112">
        <v>-1</v>
      </c>
      <c r="M112">
        <v>5</v>
      </c>
      <c r="N112">
        <v>1.596273593</v>
      </c>
      <c r="O112">
        <v>-2</v>
      </c>
      <c r="P112">
        <v>5</v>
      </c>
      <c r="Q112">
        <v>7</v>
      </c>
      <c r="R112">
        <v>477</v>
      </c>
      <c r="S112">
        <v>-1557.5</v>
      </c>
      <c r="T112">
        <v>-5</v>
      </c>
      <c r="U112">
        <v>20</v>
      </c>
      <c r="V112" t="s">
        <v>35</v>
      </c>
      <c r="W112">
        <v>477</v>
      </c>
      <c r="X112">
        <v>-1557.5</v>
      </c>
      <c r="Y112">
        <v>15</v>
      </c>
      <c r="Z112">
        <v>2.5016742000000002E-2</v>
      </c>
      <c r="AA112">
        <v>2034.5</v>
      </c>
      <c r="AB112">
        <v>0</v>
      </c>
      <c r="AC112">
        <v>15</v>
      </c>
      <c r="AD112">
        <v>7.3728190000000001E-3</v>
      </c>
      <c r="AE112">
        <v>0</v>
      </c>
      <c r="AF112">
        <v>15</v>
      </c>
      <c r="AG112">
        <v>0</v>
      </c>
      <c r="AH112">
        <f t="shared" si="1"/>
        <v>7.3728188744163186E-3</v>
      </c>
    </row>
    <row r="113" spans="1:34" x14ac:dyDescent="0.25">
      <c r="A113" s="1">
        <v>43642</v>
      </c>
      <c r="B113">
        <v>234.5</v>
      </c>
      <c r="C113">
        <v>-1.6771488000000001E-2</v>
      </c>
      <c r="D113">
        <v>310.5</v>
      </c>
      <c r="E113">
        <v>-3.210273E-3</v>
      </c>
      <c r="F113">
        <v>-1.3561215999999999E-2</v>
      </c>
      <c r="G113">
        <v>1.3561215999999999E-2</v>
      </c>
      <c r="H113">
        <v>1.7445432E-2</v>
      </c>
      <c r="I113">
        <v>9.4078319999999997E-3</v>
      </c>
      <c r="J113">
        <v>0</v>
      </c>
      <c r="K113">
        <v>0</v>
      </c>
      <c r="L113">
        <v>0</v>
      </c>
      <c r="M113">
        <v>5</v>
      </c>
      <c r="N113">
        <v>0.25344813399999999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W113">
        <v>0</v>
      </c>
      <c r="X113">
        <v>0</v>
      </c>
      <c r="Y113">
        <v>0</v>
      </c>
      <c r="Z113">
        <v>1.7445432E-2</v>
      </c>
      <c r="AA113">
        <v>0</v>
      </c>
      <c r="AB113" t="s">
        <v>33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f t="shared" si="1"/>
        <v>0</v>
      </c>
    </row>
    <row r="114" spans="1:34" x14ac:dyDescent="0.25">
      <c r="A114" s="1">
        <v>43643</v>
      </c>
      <c r="B114">
        <v>240.5</v>
      </c>
      <c r="C114">
        <v>2.5586353999999999E-2</v>
      </c>
      <c r="D114">
        <v>313</v>
      </c>
      <c r="E114">
        <v>8.0515299999999995E-3</v>
      </c>
      <c r="F114">
        <v>1.7534824000000001E-2</v>
      </c>
      <c r="G114">
        <v>1.7534824000000001E-2</v>
      </c>
      <c r="H114">
        <v>2.2899804999999999E-2</v>
      </c>
      <c r="I114">
        <v>9.8069539999999997E-3</v>
      </c>
      <c r="J114">
        <v>1</v>
      </c>
      <c r="K114">
        <v>0</v>
      </c>
      <c r="L114">
        <v>0</v>
      </c>
      <c r="M114">
        <v>5</v>
      </c>
      <c r="N114">
        <v>0.40954276499999998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W114">
        <v>0</v>
      </c>
      <c r="X114">
        <v>0</v>
      </c>
      <c r="Y114">
        <v>0</v>
      </c>
      <c r="Z114">
        <v>2.2899804999999999E-2</v>
      </c>
      <c r="AA114">
        <v>0</v>
      </c>
      <c r="AB114" t="s">
        <v>33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f t="shared" si="1"/>
        <v>0</v>
      </c>
    </row>
    <row r="115" spans="1:34" x14ac:dyDescent="0.25">
      <c r="A115" s="1">
        <v>43644</v>
      </c>
      <c r="B115">
        <v>239</v>
      </c>
      <c r="C115">
        <v>-6.2370059999999998E-3</v>
      </c>
      <c r="D115">
        <v>314</v>
      </c>
      <c r="E115">
        <v>3.1948879999999999E-3</v>
      </c>
      <c r="F115">
        <v>-9.4318939999999997E-3</v>
      </c>
      <c r="G115">
        <v>9.4318939999999997E-3</v>
      </c>
      <c r="H115">
        <v>2.064525E-2</v>
      </c>
      <c r="I115">
        <v>8.4583490000000004E-3</v>
      </c>
      <c r="J115">
        <v>0</v>
      </c>
      <c r="K115">
        <v>0</v>
      </c>
      <c r="L115">
        <v>0</v>
      </c>
      <c r="M115">
        <v>5</v>
      </c>
      <c r="N115">
        <v>0.67299405999999995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W115">
        <v>0</v>
      </c>
      <c r="X115">
        <v>0</v>
      </c>
      <c r="Y115">
        <v>0</v>
      </c>
      <c r="Z115">
        <v>2.064525E-2</v>
      </c>
      <c r="AA115">
        <v>0</v>
      </c>
      <c r="AB115" t="s">
        <v>33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f t="shared" si="1"/>
        <v>0</v>
      </c>
    </row>
    <row r="116" spans="1:34" x14ac:dyDescent="0.25">
      <c r="A116" s="1">
        <v>43647</v>
      </c>
      <c r="B116">
        <v>248.5</v>
      </c>
      <c r="C116">
        <v>3.9748954000000003E-2</v>
      </c>
      <c r="D116">
        <v>314</v>
      </c>
      <c r="E116">
        <v>0</v>
      </c>
      <c r="F116">
        <v>3.9748954000000003E-2</v>
      </c>
      <c r="G116">
        <v>3.9748954000000003E-2</v>
      </c>
      <c r="H116">
        <v>2.4790263999999999E-2</v>
      </c>
      <c r="I116">
        <v>7.7744679999999997E-3</v>
      </c>
      <c r="J116">
        <v>1</v>
      </c>
      <c r="K116">
        <v>0</v>
      </c>
      <c r="L116">
        <v>0</v>
      </c>
      <c r="M116">
        <v>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W116">
        <v>0</v>
      </c>
      <c r="X116">
        <v>0</v>
      </c>
      <c r="Y116">
        <v>0</v>
      </c>
      <c r="Z116">
        <v>2.4790263999999999E-2</v>
      </c>
      <c r="AA116">
        <v>0</v>
      </c>
      <c r="AB116" t="s">
        <v>33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f t="shared" si="1"/>
        <v>0</v>
      </c>
    </row>
    <row r="117" spans="1:34" x14ac:dyDescent="0.25">
      <c r="A117" s="1">
        <v>43648</v>
      </c>
      <c r="B117">
        <v>249</v>
      </c>
      <c r="C117">
        <v>2.0120720000000002E-3</v>
      </c>
      <c r="D117">
        <v>319</v>
      </c>
      <c r="E117">
        <v>1.5923567E-2</v>
      </c>
      <c r="F117">
        <v>-1.3911494E-2</v>
      </c>
      <c r="G117">
        <v>1.3911494E-2</v>
      </c>
      <c r="H117">
        <v>2.3268460000000001E-2</v>
      </c>
      <c r="I117">
        <v>7.4847630000000002E-3</v>
      </c>
      <c r="J117">
        <v>0</v>
      </c>
      <c r="K117">
        <v>0</v>
      </c>
      <c r="L117">
        <v>0</v>
      </c>
      <c r="M117">
        <v>5</v>
      </c>
      <c r="N117">
        <v>10.1388356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W117">
        <v>0</v>
      </c>
      <c r="X117">
        <v>0</v>
      </c>
      <c r="Y117">
        <v>0</v>
      </c>
      <c r="Z117">
        <v>2.3268460000000001E-2</v>
      </c>
      <c r="AA117">
        <v>0</v>
      </c>
      <c r="AB117" t="s">
        <v>33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f t="shared" si="1"/>
        <v>0</v>
      </c>
    </row>
    <row r="118" spans="1:34" x14ac:dyDescent="0.25">
      <c r="A118" s="1">
        <v>43649</v>
      </c>
      <c r="B118">
        <v>242.5</v>
      </c>
      <c r="C118">
        <v>-2.6104418000000001E-2</v>
      </c>
      <c r="D118">
        <v>317.5</v>
      </c>
      <c r="E118">
        <v>-4.7021939999999998E-3</v>
      </c>
      <c r="F118">
        <v>-2.1402223000000001E-2</v>
      </c>
      <c r="G118">
        <v>2.1402223000000001E-2</v>
      </c>
      <c r="H118">
        <v>2.6047777000000001E-2</v>
      </c>
      <c r="I118">
        <v>7.9016569999999994E-3</v>
      </c>
      <c r="J118">
        <v>0</v>
      </c>
      <c r="K118">
        <v>0</v>
      </c>
      <c r="L118">
        <v>0</v>
      </c>
      <c r="M118">
        <v>5</v>
      </c>
      <c r="N118">
        <v>0.23584058999999999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W118">
        <v>0</v>
      </c>
      <c r="X118">
        <v>0</v>
      </c>
      <c r="Y118">
        <v>0</v>
      </c>
      <c r="Z118">
        <v>2.6047777000000001E-2</v>
      </c>
      <c r="AA118">
        <v>0</v>
      </c>
      <c r="AB118" t="s">
        <v>33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f t="shared" si="1"/>
        <v>0</v>
      </c>
    </row>
    <row r="119" spans="1:34" x14ac:dyDescent="0.25">
      <c r="A119" s="1">
        <v>43650</v>
      </c>
      <c r="B119">
        <v>244</v>
      </c>
      <c r="C119">
        <v>6.1855670000000003E-3</v>
      </c>
      <c r="D119">
        <v>319</v>
      </c>
      <c r="E119">
        <v>4.7244089999999997E-3</v>
      </c>
      <c r="F119">
        <v>1.4611579999999999E-3</v>
      </c>
      <c r="G119">
        <v>1.4611579999999999E-3</v>
      </c>
      <c r="H119">
        <v>2.3947472000000001E-2</v>
      </c>
      <c r="I119">
        <v>7.6636300000000003E-3</v>
      </c>
      <c r="J119">
        <v>1</v>
      </c>
      <c r="K119">
        <v>0</v>
      </c>
      <c r="L119">
        <v>0</v>
      </c>
      <c r="M119">
        <v>5</v>
      </c>
      <c r="N119">
        <v>0.99854782499999994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W119">
        <v>0</v>
      </c>
      <c r="X119">
        <v>0</v>
      </c>
      <c r="Y119">
        <v>0</v>
      </c>
      <c r="Z119">
        <v>2.3947472000000001E-2</v>
      </c>
      <c r="AA119">
        <v>0</v>
      </c>
      <c r="AB119" t="s">
        <v>33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f t="shared" si="1"/>
        <v>0</v>
      </c>
    </row>
    <row r="120" spans="1:34" x14ac:dyDescent="0.25">
      <c r="A120" s="1">
        <v>43651</v>
      </c>
      <c r="B120">
        <v>243</v>
      </c>
      <c r="C120">
        <v>-4.098361E-3</v>
      </c>
      <c r="D120">
        <v>321</v>
      </c>
      <c r="E120">
        <v>6.269592E-3</v>
      </c>
      <c r="F120">
        <v>-1.0367952999999999E-2</v>
      </c>
      <c r="G120">
        <v>1.0367952999999999E-2</v>
      </c>
      <c r="H120">
        <v>2.3756881000000001E-2</v>
      </c>
      <c r="I120">
        <v>7.723242E-3</v>
      </c>
      <c r="J120">
        <v>0</v>
      </c>
      <c r="K120">
        <v>0</v>
      </c>
      <c r="L120">
        <v>0</v>
      </c>
      <c r="M120">
        <v>5</v>
      </c>
      <c r="N120">
        <v>2.020821239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W120">
        <v>0</v>
      </c>
      <c r="X120">
        <v>0</v>
      </c>
      <c r="Y120">
        <v>0</v>
      </c>
      <c r="Z120">
        <v>2.3756881000000001E-2</v>
      </c>
      <c r="AA120">
        <v>0</v>
      </c>
      <c r="AB120" t="s">
        <v>33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f t="shared" si="1"/>
        <v>0</v>
      </c>
    </row>
    <row r="121" spans="1:34" x14ac:dyDescent="0.25">
      <c r="A121" s="1">
        <v>43654</v>
      </c>
      <c r="B121">
        <v>242.5</v>
      </c>
      <c r="C121">
        <v>-2.0576129999999998E-3</v>
      </c>
      <c r="D121">
        <v>314</v>
      </c>
      <c r="E121">
        <v>-2.1806854000000001E-2</v>
      </c>
      <c r="F121">
        <v>1.9749240000000001E-2</v>
      </c>
      <c r="G121">
        <v>1.9749240000000001E-2</v>
      </c>
      <c r="H121">
        <v>1.2539711E-2</v>
      </c>
      <c r="I121">
        <v>1.4254858E-2</v>
      </c>
      <c r="J121">
        <v>1</v>
      </c>
      <c r="K121">
        <v>1</v>
      </c>
      <c r="L121">
        <v>1</v>
      </c>
      <c r="M121">
        <v>5</v>
      </c>
      <c r="N121">
        <v>13.722940550000001</v>
      </c>
      <c r="O121">
        <v>-69</v>
      </c>
      <c r="P121">
        <v>5</v>
      </c>
      <c r="Q121">
        <v>74</v>
      </c>
      <c r="R121">
        <v>16732.5</v>
      </c>
      <c r="S121">
        <v>-1570</v>
      </c>
      <c r="T121">
        <v>0</v>
      </c>
      <c r="U121">
        <v>0</v>
      </c>
      <c r="V121" t="s">
        <v>34</v>
      </c>
      <c r="W121">
        <v>16732.5</v>
      </c>
      <c r="X121">
        <v>-1570</v>
      </c>
      <c r="Y121">
        <v>0</v>
      </c>
      <c r="Z121">
        <v>1.4254858E-2</v>
      </c>
      <c r="AA121">
        <v>18302.5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18302.5</v>
      </c>
      <c r="AH121">
        <f t="shared" si="1"/>
        <v>0</v>
      </c>
    </row>
    <row r="122" spans="1:34" x14ac:dyDescent="0.25">
      <c r="A122" s="1">
        <v>43655</v>
      </c>
      <c r="B122">
        <v>242</v>
      </c>
      <c r="C122">
        <v>-2.0618559999999999E-3</v>
      </c>
      <c r="D122">
        <v>313.5</v>
      </c>
      <c r="E122">
        <v>-1.592357E-3</v>
      </c>
      <c r="F122">
        <v>-4.6949900000000001E-4</v>
      </c>
      <c r="G122">
        <v>4.6949900000000001E-4</v>
      </c>
      <c r="H122">
        <v>1.2110418E-2</v>
      </c>
      <c r="I122">
        <v>1.1216955000000001E-2</v>
      </c>
      <c r="J122">
        <v>0</v>
      </c>
      <c r="K122">
        <v>0</v>
      </c>
      <c r="L122">
        <v>-1</v>
      </c>
      <c r="M122">
        <v>5</v>
      </c>
      <c r="N122">
        <v>1.0004704689999999</v>
      </c>
      <c r="O122">
        <v>69</v>
      </c>
      <c r="P122">
        <v>-5</v>
      </c>
      <c r="Q122">
        <v>74</v>
      </c>
      <c r="R122">
        <v>-16698</v>
      </c>
      <c r="S122">
        <v>1567.5</v>
      </c>
      <c r="T122">
        <v>34.5</v>
      </c>
      <c r="U122">
        <v>-2.5</v>
      </c>
      <c r="V122" t="s">
        <v>35</v>
      </c>
      <c r="W122">
        <v>-16698</v>
      </c>
      <c r="X122">
        <v>1567.5</v>
      </c>
      <c r="Y122">
        <v>32</v>
      </c>
      <c r="Z122">
        <v>1.2110418E-2</v>
      </c>
      <c r="AA122">
        <v>18265.5</v>
      </c>
      <c r="AB122">
        <v>0</v>
      </c>
      <c r="AC122">
        <v>32</v>
      </c>
      <c r="AD122">
        <v>1.7519370000000001E-3</v>
      </c>
      <c r="AE122">
        <v>0</v>
      </c>
      <c r="AF122">
        <v>32</v>
      </c>
      <c r="AG122">
        <v>0</v>
      </c>
      <c r="AH122">
        <f t="shared" si="1"/>
        <v>1.7519367112863048E-3</v>
      </c>
    </row>
    <row r="123" spans="1:34" x14ac:dyDescent="0.25">
      <c r="A123" s="1">
        <v>43656</v>
      </c>
      <c r="B123">
        <v>247</v>
      </c>
      <c r="C123">
        <v>2.0661156999999999E-2</v>
      </c>
      <c r="D123">
        <v>318</v>
      </c>
      <c r="E123">
        <v>1.4354067E-2</v>
      </c>
      <c r="F123">
        <v>6.3070899999999996E-3</v>
      </c>
      <c r="G123">
        <v>6.3070899999999996E-3</v>
      </c>
      <c r="H123">
        <v>1.0259374999999999E-2</v>
      </c>
      <c r="I123">
        <v>1.3647179000000001E-2</v>
      </c>
      <c r="J123">
        <v>1</v>
      </c>
      <c r="K123">
        <v>0</v>
      </c>
      <c r="L123">
        <v>0</v>
      </c>
      <c r="M123">
        <v>5</v>
      </c>
      <c r="N123">
        <v>0.89443852499999998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W123">
        <v>0</v>
      </c>
      <c r="X123">
        <v>0</v>
      </c>
      <c r="Y123">
        <v>0</v>
      </c>
      <c r="Z123">
        <v>1.3647179000000001E-2</v>
      </c>
      <c r="AA123">
        <v>0</v>
      </c>
      <c r="AB123" t="s">
        <v>33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f t="shared" si="1"/>
        <v>0</v>
      </c>
    </row>
    <row r="124" spans="1:34" x14ac:dyDescent="0.25">
      <c r="A124" s="1">
        <v>43657</v>
      </c>
      <c r="B124">
        <v>250</v>
      </c>
      <c r="C124">
        <v>1.2145749000000001E-2</v>
      </c>
      <c r="D124">
        <v>322.5</v>
      </c>
      <c r="E124">
        <v>1.4150942999999999E-2</v>
      </c>
      <c r="F124">
        <v>-2.0051940000000001E-3</v>
      </c>
      <c r="G124">
        <v>2.0051940000000001E-3</v>
      </c>
      <c r="H124">
        <v>1.0940289000000001E-2</v>
      </c>
      <c r="I124">
        <v>1.4981579E-2</v>
      </c>
      <c r="J124">
        <v>0</v>
      </c>
      <c r="K124">
        <v>0</v>
      </c>
      <c r="L124">
        <v>0</v>
      </c>
      <c r="M124">
        <v>5</v>
      </c>
      <c r="N124">
        <v>1.5029716980000001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W124">
        <v>0</v>
      </c>
      <c r="X124">
        <v>0</v>
      </c>
      <c r="Y124">
        <v>0</v>
      </c>
      <c r="Z124">
        <v>1.4981579E-2</v>
      </c>
      <c r="AA124">
        <v>0</v>
      </c>
      <c r="AB124" t="s">
        <v>33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f t="shared" si="1"/>
        <v>0</v>
      </c>
    </row>
    <row r="125" spans="1:34" x14ac:dyDescent="0.25">
      <c r="A125" s="1">
        <v>43658</v>
      </c>
      <c r="B125">
        <v>250.5</v>
      </c>
      <c r="C125">
        <v>2E-3</v>
      </c>
      <c r="D125">
        <v>318</v>
      </c>
      <c r="E125">
        <v>-1.3953488E-2</v>
      </c>
      <c r="F125">
        <v>1.5953487999999998E-2</v>
      </c>
      <c r="G125">
        <v>1.5953487999999998E-2</v>
      </c>
      <c r="H125">
        <v>9.9817819999999998E-3</v>
      </c>
      <c r="I125">
        <v>1.6304955999999999E-2</v>
      </c>
      <c r="J125">
        <v>1</v>
      </c>
      <c r="K125">
        <v>0</v>
      </c>
      <c r="L125">
        <v>0</v>
      </c>
      <c r="M125">
        <v>5</v>
      </c>
      <c r="N125">
        <v>8.8567051939999999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W125">
        <v>0</v>
      </c>
      <c r="X125">
        <v>0</v>
      </c>
      <c r="Y125">
        <v>0</v>
      </c>
      <c r="Z125">
        <v>1.6304955999999999E-2</v>
      </c>
      <c r="AA125">
        <v>0</v>
      </c>
      <c r="AB125" t="s">
        <v>33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f t="shared" si="1"/>
        <v>0</v>
      </c>
    </row>
    <row r="126" spans="1:34" x14ac:dyDescent="0.25">
      <c r="A126" s="1">
        <v>43661</v>
      </c>
      <c r="B126">
        <v>254.5</v>
      </c>
      <c r="C126">
        <v>1.5968064000000001E-2</v>
      </c>
      <c r="D126">
        <v>314.5</v>
      </c>
      <c r="E126">
        <v>-1.1006289000000001E-2</v>
      </c>
      <c r="F126">
        <v>2.6974353E-2</v>
      </c>
      <c r="G126">
        <v>2.6974353E-2</v>
      </c>
      <c r="H126">
        <v>9.526797E-3</v>
      </c>
      <c r="I126">
        <v>1.3452690999999999E-2</v>
      </c>
      <c r="J126">
        <v>1</v>
      </c>
      <c r="K126">
        <v>1</v>
      </c>
      <c r="L126">
        <v>1</v>
      </c>
      <c r="M126">
        <v>5</v>
      </c>
      <c r="N126">
        <v>0.85176840499999995</v>
      </c>
      <c r="O126">
        <v>-5</v>
      </c>
      <c r="P126">
        <v>5</v>
      </c>
      <c r="Q126">
        <v>10</v>
      </c>
      <c r="R126">
        <v>1272.5</v>
      </c>
      <c r="S126">
        <v>-1572.5</v>
      </c>
      <c r="T126">
        <v>0</v>
      </c>
      <c r="U126">
        <v>0</v>
      </c>
      <c r="V126" t="s">
        <v>34</v>
      </c>
      <c r="W126">
        <v>1272.5</v>
      </c>
      <c r="X126">
        <v>-1572.5</v>
      </c>
      <c r="Y126">
        <v>0</v>
      </c>
      <c r="Z126">
        <v>1.3452690999999999E-2</v>
      </c>
      <c r="AA126">
        <v>2845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2845</v>
      </c>
      <c r="AH126">
        <f t="shared" si="1"/>
        <v>0</v>
      </c>
    </row>
    <row r="127" spans="1:34" x14ac:dyDescent="0.25">
      <c r="A127" s="1">
        <v>43662</v>
      </c>
      <c r="B127">
        <v>256</v>
      </c>
      <c r="C127">
        <v>5.8939099999999996E-3</v>
      </c>
      <c r="D127">
        <v>314</v>
      </c>
      <c r="E127">
        <v>-1.589825E-3</v>
      </c>
      <c r="F127">
        <v>7.483735E-3</v>
      </c>
      <c r="G127">
        <v>7.483735E-3</v>
      </c>
      <c r="H127">
        <v>7.5141110000000004E-3</v>
      </c>
      <c r="I127">
        <v>1.3452597E-2</v>
      </c>
      <c r="J127">
        <v>1</v>
      </c>
      <c r="K127">
        <v>1</v>
      </c>
      <c r="L127">
        <v>0</v>
      </c>
      <c r="M127">
        <v>5</v>
      </c>
      <c r="N127">
        <v>0.33085337199999998</v>
      </c>
      <c r="O127">
        <v>5</v>
      </c>
      <c r="P127">
        <v>-5</v>
      </c>
      <c r="Q127">
        <v>10</v>
      </c>
      <c r="R127">
        <v>-1280</v>
      </c>
      <c r="S127">
        <v>1570</v>
      </c>
      <c r="T127">
        <v>-7.5</v>
      </c>
      <c r="U127">
        <v>-2.5</v>
      </c>
      <c r="V127" t="s">
        <v>37</v>
      </c>
      <c r="W127">
        <v>0</v>
      </c>
      <c r="X127">
        <v>0</v>
      </c>
      <c r="Y127">
        <v>0</v>
      </c>
      <c r="Z127">
        <v>1.3452597E-2</v>
      </c>
      <c r="AA127">
        <v>2850</v>
      </c>
      <c r="AB127">
        <v>0</v>
      </c>
      <c r="AC127">
        <v>-10</v>
      </c>
      <c r="AD127">
        <v>-3.5087719999999998E-3</v>
      </c>
      <c r="AE127">
        <v>0</v>
      </c>
      <c r="AF127">
        <v>0</v>
      </c>
      <c r="AG127">
        <v>0</v>
      </c>
      <c r="AH127">
        <f t="shared" si="1"/>
        <v>0</v>
      </c>
    </row>
    <row r="128" spans="1:34" x14ac:dyDescent="0.25">
      <c r="A128" s="1">
        <v>43663</v>
      </c>
      <c r="B128">
        <v>252</v>
      </c>
      <c r="C128">
        <v>-1.5625E-2</v>
      </c>
      <c r="D128">
        <v>310</v>
      </c>
      <c r="E128">
        <v>-1.2738854000000001E-2</v>
      </c>
      <c r="F128">
        <v>-2.886146E-3</v>
      </c>
      <c r="G128">
        <v>2.886146E-3</v>
      </c>
      <c r="H128">
        <v>1.2270758E-2</v>
      </c>
      <c r="I128">
        <v>1.1774065E-2</v>
      </c>
      <c r="J128">
        <v>0</v>
      </c>
      <c r="K128">
        <v>0</v>
      </c>
      <c r="L128">
        <v>-1</v>
      </c>
      <c r="M128">
        <v>5</v>
      </c>
      <c r="N128">
        <v>1.002931958</v>
      </c>
      <c r="O128">
        <v>5</v>
      </c>
      <c r="P128">
        <v>-5</v>
      </c>
      <c r="Q128">
        <v>10</v>
      </c>
      <c r="R128">
        <v>-1260</v>
      </c>
      <c r="S128">
        <v>1550</v>
      </c>
      <c r="T128">
        <v>12.5</v>
      </c>
      <c r="U128">
        <v>-22.5</v>
      </c>
      <c r="V128" t="s">
        <v>35</v>
      </c>
      <c r="W128">
        <v>-1260</v>
      </c>
      <c r="X128">
        <v>1550</v>
      </c>
      <c r="Y128">
        <v>-10</v>
      </c>
      <c r="Z128">
        <v>1.2270758E-2</v>
      </c>
      <c r="AA128">
        <v>2810</v>
      </c>
      <c r="AB128">
        <v>0</v>
      </c>
      <c r="AC128">
        <v>-10</v>
      </c>
      <c r="AD128">
        <v>-3.5587190000000001E-3</v>
      </c>
      <c r="AE128">
        <v>0</v>
      </c>
      <c r="AF128">
        <v>-10</v>
      </c>
      <c r="AG128">
        <v>0</v>
      </c>
      <c r="AH128">
        <f t="shared" si="1"/>
        <v>-3.5587188612099642E-3</v>
      </c>
    </row>
    <row r="129" spans="1:34" x14ac:dyDescent="0.25">
      <c r="A129" s="1">
        <v>43664</v>
      </c>
      <c r="B129">
        <v>254</v>
      </c>
      <c r="C129">
        <v>7.9365080000000001E-3</v>
      </c>
      <c r="D129">
        <v>302</v>
      </c>
      <c r="E129">
        <v>-2.5806452000000001E-2</v>
      </c>
      <c r="F129">
        <v>3.3742960000000002E-2</v>
      </c>
      <c r="G129">
        <v>3.3742960000000002E-2</v>
      </c>
      <c r="H129">
        <v>1.1710356E-2</v>
      </c>
      <c r="I129">
        <v>8.6479439999999994E-3</v>
      </c>
      <c r="J129">
        <v>1</v>
      </c>
      <c r="K129">
        <v>1</v>
      </c>
      <c r="L129">
        <v>1</v>
      </c>
      <c r="M129">
        <v>5</v>
      </c>
      <c r="N129">
        <v>3.8660909320000001</v>
      </c>
      <c r="O129">
        <v>-20</v>
      </c>
      <c r="P129">
        <v>5</v>
      </c>
      <c r="Q129">
        <v>25</v>
      </c>
      <c r="R129">
        <v>5080</v>
      </c>
      <c r="S129">
        <v>-1510</v>
      </c>
      <c r="T129">
        <v>0</v>
      </c>
      <c r="U129">
        <v>0</v>
      </c>
      <c r="V129" t="s">
        <v>34</v>
      </c>
      <c r="W129">
        <v>5080</v>
      </c>
      <c r="X129">
        <v>-1510</v>
      </c>
      <c r="Y129">
        <v>0</v>
      </c>
      <c r="Z129">
        <v>1.1710356E-2</v>
      </c>
      <c r="AA129">
        <v>6590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6590</v>
      </c>
      <c r="AH129">
        <f t="shared" si="1"/>
        <v>0</v>
      </c>
    </row>
    <row r="130" spans="1:34" x14ac:dyDescent="0.25">
      <c r="A130" s="1">
        <v>43665</v>
      </c>
      <c r="B130">
        <v>259</v>
      </c>
      <c r="C130">
        <v>1.9685039000000001E-2</v>
      </c>
      <c r="D130">
        <v>304.5</v>
      </c>
      <c r="E130">
        <v>8.2781460000000001E-3</v>
      </c>
      <c r="F130">
        <v>1.1406894000000001E-2</v>
      </c>
      <c r="G130">
        <v>1.1406894000000001E-2</v>
      </c>
      <c r="H130">
        <v>1.373924E-2</v>
      </c>
      <c r="I130">
        <v>1.2776862999999999E-2</v>
      </c>
      <c r="J130">
        <v>1</v>
      </c>
      <c r="K130">
        <v>1</v>
      </c>
      <c r="L130">
        <v>0</v>
      </c>
      <c r="M130">
        <v>5</v>
      </c>
      <c r="N130">
        <v>0.494406658</v>
      </c>
      <c r="O130">
        <v>20</v>
      </c>
      <c r="P130">
        <v>-5</v>
      </c>
      <c r="Q130">
        <v>25</v>
      </c>
      <c r="R130">
        <v>-5180</v>
      </c>
      <c r="S130">
        <v>1522.5</v>
      </c>
      <c r="T130">
        <v>-100</v>
      </c>
      <c r="U130">
        <v>12.5</v>
      </c>
      <c r="V130" t="s">
        <v>37</v>
      </c>
      <c r="W130">
        <v>0</v>
      </c>
      <c r="X130">
        <v>0</v>
      </c>
      <c r="Y130">
        <v>0</v>
      </c>
      <c r="Z130">
        <v>1.373924E-2</v>
      </c>
      <c r="AA130">
        <v>6702.5</v>
      </c>
      <c r="AB130">
        <v>0</v>
      </c>
      <c r="AC130">
        <v>-87.5</v>
      </c>
      <c r="AD130">
        <v>-1.305483E-2</v>
      </c>
      <c r="AE130">
        <v>0</v>
      </c>
      <c r="AF130">
        <v>0</v>
      </c>
      <c r="AG130">
        <v>0</v>
      </c>
      <c r="AH130">
        <f t="shared" si="1"/>
        <v>0</v>
      </c>
    </row>
    <row r="131" spans="1:34" x14ac:dyDescent="0.25">
      <c r="A131" s="1">
        <v>43668</v>
      </c>
      <c r="B131">
        <v>264</v>
      </c>
      <c r="C131">
        <v>1.9305019E-2</v>
      </c>
      <c r="D131">
        <v>308.5</v>
      </c>
      <c r="E131">
        <v>1.3136289000000001E-2</v>
      </c>
      <c r="F131">
        <v>6.1687299999999999E-3</v>
      </c>
      <c r="G131">
        <v>6.1687299999999999E-3</v>
      </c>
      <c r="H131">
        <v>1.4364460000000001E-2</v>
      </c>
      <c r="I131">
        <v>1.5825420999999999E-2</v>
      </c>
      <c r="J131">
        <v>1</v>
      </c>
      <c r="K131">
        <v>1</v>
      </c>
      <c r="L131">
        <v>0</v>
      </c>
      <c r="M131">
        <v>5</v>
      </c>
      <c r="N131">
        <v>0.79515848099999997</v>
      </c>
      <c r="O131">
        <v>20</v>
      </c>
      <c r="P131">
        <v>-5</v>
      </c>
      <c r="Q131">
        <v>25</v>
      </c>
      <c r="R131">
        <v>-5280</v>
      </c>
      <c r="S131">
        <v>1542.5</v>
      </c>
      <c r="T131">
        <v>-200</v>
      </c>
      <c r="U131">
        <v>32.5</v>
      </c>
      <c r="V131" t="s">
        <v>37</v>
      </c>
      <c r="W131">
        <v>0</v>
      </c>
      <c r="X131">
        <v>0</v>
      </c>
      <c r="Y131">
        <v>0</v>
      </c>
      <c r="Z131">
        <v>1.5825420999999999E-2</v>
      </c>
      <c r="AA131">
        <v>6822.5</v>
      </c>
      <c r="AB131">
        <v>0</v>
      </c>
      <c r="AC131">
        <v>-167.5</v>
      </c>
      <c r="AD131">
        <v>-2.4551118E-2</v>
      </c>
      <c r="AE131">
        <v>1</v>
      </c>
      <c r="AF131">
        <v>-167.5</v>
      </c>
      <c r="AG131">
        <v>0</v>
      </c>
      <c r="AH131">
        <f t="shared" ref="AH131:AH194" si="2">IF(AF131&lt;&gt;0,AF131/AA131,0)</f>
        <v>-2.4551117625503847E-2</v>
      </c>
    </row>
    <row r="132" spans="1:34" x14ac:dyDescent="0.25">
      <c r="A132" s="1">
        <v>43669</v>
      </c>
      <c r="B132">
        <v>264</v>
      </c>
      <c r="C132">
        <v>0</v>
      </c>
      <c r="D132">
        <v>314.5</v>
      </c>
      <c r="E132">
        <v>1.9448947000000001E-2</v>
      </c>
      <c r="F132">
        <v>-1.9448947000000001E-2</v>
      </c>
      <c r="G132">
        <v>1.9448947000000001E-2</v>
      </c>
      <c r="H132">
        <v>1.4759367000000001E-2</v>
      </c>
      <c r="I132">
        <v>1.9016623999999999E-2</v>
      </c>
      <c r="J132">
        <v>0</v>
      </c>
      <c r="K132">
        <v>0</v>
      </c>
      <c r="L132">
        <v>-1</v>
      </c>
      <c r="M132">
        <v>5</v>
      </c>
      <c r="N132" t="s">
        <v>36</v>
      </c>
      <c r="O132">
        <v>20</v>
      </c>
      <c r="P132">
        <v>-5</v>
      </c>
      <c r="Q132">
        <v>25</v>
      </c>
      <c r="R132">
        <v>-5280</v>
      </c>
      <c r="S132">
        <v>1572.5</v>
      </c>
      <c r="T132">
        <v>-200</v>
      </c>
      <c r="U132">
        <v>62.5</v>
      </c>
      <c r="V132" t="s">
        <v>35</v>
      </c>
      <c r="W132">
        <v>-5280</v>
      </c>
      <c r="X132">
        <v>1572.5</v>
      </c>
      <c r="Y132">
        <v>-137.5</v>
      </c>
      <c r="Z132">
        <v>1.9016623999999999E-2</v>
      </c>
      <c r="AA132">
        <v>6852.5</v>
      </c>
      <c r="AB132">
        <v>0</v>
      </c>
      <c r="AC132">
        <v>-137.5</v>
      </c>
      <c r="AD132">
        <v>-2.0065669000000001E-2</v>
      </c>
      <c r="AE132">
        <v>1</v>
      </c>
      <c r="AF132">
        <v>0</v>
      </c>
      <c r="AG132">
        <v>0</v>
      </c>
      <c r="AH132">
        <f t="shared" si="2"/>
        <v>0</v>
      </c>
    </row>
    <row r="133" spans="1:34" x14ac:dyDescent="0.25">
      <c r="A133" s="1">
        <v>43670</v>
      </c>
      <c r="B133">
        <v>265</v>
      </c>
      <c r="C133">
        <v>3.7878790000000001E-3</v>
      </c>
      <c r="D133">
        <v>308</v>
      </c>
      <c r="E133">
        <v>-2.0667727E-2</v>
      </c>
      <c r="F133">
        <v>2.4455604999999998E-2</v>
      </c>
      <c r="G133">
        <v>2.4455604999999998E-2</v>
      </c>
      <c r="H133">
        <v>8.9879049999999992E-3</v>
      </c>
      <c r="I133">
        <v>2.0652983999999999E-2</v>
      </c>
      <c r="J133">
        <v>1</v>
      </c>
      <c r="K133">
        <v>1</v>
      </c>
      <c r="L133">
        <v>1</v>
      </c>
      <c r="M133">
        <v>5</v>
      </c>
      <c r="N133">
        <v>6.3416384199999998</v>
      </c>
      <c r="O133">
        <v>-32</v>
      </c>
      <c r="P133">
        <v>5</v>
      </c>
      <c r="Q133">
        <v>37</v>
      </c>
      <c r="R133">
        <v>8480</v>
      </c>
      <c r="S133">
        <v>-1540</v>
      </c>
      <c r="T133">
        <v>0</v>
      </c>
      <c r="U133">
        <v>0</v>
      </c>
      <c r="V133" t="s">
        <v>34</v>
      </c>
      <c r="W133">
        <v>8480</v>
      </c>
      <c r="X133">
        <v>-1540</v>
      </c>
      <c r="Y133">
        <v>0</v>
      </c>
      <c r="Z133">
        <v>2.0652983999999999E-2</v>
      </c>
      <c r="AA133">
        <v>10020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10020</v>
      </c>
      <c r="AH133">
        <f t="shared" si="2"/>
        <v>0</v>
      </c>
    </row>
    <row r="134" spans="1:34" x14ac:dyDescent="0.25">
      <c r="A134" s="1">
        <v>43671</v>
      </c>
      <c r="B134">
        <v>265</v>
      </c>
      <c r="C134">
        <v>0</v>
      </c>
      <c r="D134">
        <v>313</v>
      </c>
      <c r="E134">
        <v>1.6233766E-2</v>
      </c>
      <c r="F134">
        <v>-1.6233766E-2</v>
      </c>
      <c r="G134">
        <v>1.6233766E-2</v>
      </c>
      <c r="H134">
        <v>1.0106212999999999E-2</v>
      </c>
      <c r="I134">
        <v>1.6160297000000001E-2</v>
      </c>
      <c r="J134">
        <v>0</v>
      </c>
      <c r="K134">
        <v>0</v>
      </c>
      <c r="L134">
        <v>-1</v>
      </c>
      <c r="M134">
        <v>5</v>
      </c>
      <c r="N134" t="s">
        <v>36</v>
      </c>
      <c r="O134">
        <v>32</v>
      </c>
      <c r="P134">
        <v>-5</v>
      </c>
      <c r="Q134">
        <v>37</v>
      </c>
      <c r="R134">
        <v>-8480</v>
      </c>
      <c r="S134">
        <v>1565</v>
      </c>
      <c r="T134">
        <v>0</v>
      </c>
      <c r="U134">
        <v>25</v>
      </c>
      <c r="V134" t="s">
        <v>35</v>
      </c>
      <c r="W134">
        <v>-8480</v>
      </c>
      <c r="X134">
        <v>1565</v>
      </c>
      <c r="Y134">
        <v>25</v>
      </c>
      <c r="Z134">
        <v>1.6160297000000001E-2</v>
      </c>
      <c r="AA134">
        <v>10045</v>
      </c>
      <c r="AB134">
        <v>0</v>
      </c>
      <c r="AC134">
        <v>25</v>
      </c>
      <c r="AD134">
        <v>2.4888000000000002E-3</v>
      </c>
      <c r="AE134">
        <v>0</v>
      </c>
      <c r="AF134">
        <v>25</v>
      </c>
      <c r="AG134">
        <v>0</v>
      </c>
      <c r="AH134">
        <f t="shared" si="2"/>
        <v>2.4888003982080635E-3</v>
      </c>
    </row>
    <row r="135" spans="1:34" x14ac:dyDescent="0.25">
      <c r="A135" s="1">
        <v>43672</v>
      </c>
      <c r="B135">
        <v>261</v>
      </c>
      <c r="C135">
        <v>-1.5094339999999999E-2</v>
      </c>
      <c r="D135">
        <v>313.5</v>
      </c>
      <c r="E135">
        <v>1.5974439999999999E-3</v>
      </c>
      <c r="F135">
        <v>-1.6691784000000001E-2</v>
      </c>
      <c r="G135">
        <v>1.6691784000000001E-2</v>
      </c>
      <c r="H135">
        <v>1.2268612999999999E-2</v>
      </c>
      <c r="I135">
        <v>1.6333005000000001E-2</v>
      </c>
      <c r="J135">
        <v>0</v>
      </c>
      <c r="K135">
        <v>1</v>
      </c>
      <c r="L135">
        <v>1</v>
      </c>
      <c r="M135">
        <v>5</v>
      </c>
      <c r="N135">
        <v>0.12711844999999999</v>
      </c>
      <c r="O135">
        <v>1</v>
      </c>
      <c r="P135">
        <v>-5</v>
      </c>
      <c r="Q135">
        <v>6</v>
      </c>
      <c r="R135">
        <v>-261</v>
      </c>
      <c r="S135">
        <v>1567.5</v>
      </c>
      <c r="T135">
        <v>0</v>
      </c>
      <c r="U135">
        <v>0</v>
      </c>
      <c r="V135" t="s">
        <v>34</v>
      </c>
      <c r="W135">
        <v>-261</v>
      </c>
      <c r="X135">
        <v>1567.5</v>
      </c>
      <c r="Y135">
        <v>0</v>
      </c>
      <c r="Z135">
        <v>1.6333005000000001E-2</v>
      </c>
      <c r="AA135">
        <v>1828.5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1828.5</v>
      </c>
      <c r="AH135">
        <f t="shared" si="2"/>
        <v>0</v>
      </c>
    </row>
    <row r="136" spans="1:34" x14ac:dyDescent="0.25">
      <c r="A136" s="1">
        <v>43675</v>
      </c>
      <c r="B136">
        <v>261</v>
      </c>
      <c r="C136">
        <v>0</v>
      </c>
      <c r="D136">
        <v>319</v>
      </c>
      <c r="E136">
        <v>1.7543860000000001E-2</v>
      </c>
      <c r="F136">
        <v>-1.7543860000000001E-2</v>
      </c>
      <c r="G136">
        <v>1.7543860000000001E-2</v>
      </c>
      <c r="H136">
        <v>7.3590060000000004E-3</v>
      </c>
      <c r="I136">
        <v>1.6926015999999999E-2</v>
      </c>
      <c r="J136">
        <v>0</v>
      </c>
      <c r="K136">
        <v>1</v>
      </c>
      <c r="L136">
        <v>0</v>
      </c>
      <c r="M136">
        <v>5</v>
      </c>
      <c r="N136" t="s">
        <v>36</v>
      </c>
      <c r="O136">
        <v>-1</v>
      </c>
      <c r="P136">
        <v>5</v>
      </c>
      <c r="Q136">
        <v>6</v>
      </c>
      <c r="R136">
        <v>261</v>
      </c>
      <c r="S136">
        <v>-1595</v>
      </c>
      <c r="T136">
        <v>0</v>
      </c>
      <c r="U136">
        <v>-27.5</v>
      </c>
      <c r="V136" t="s">
        <v>37</v>
      </c>
      <c r="W136">
        <v>0</v>
      </c>
      <c r="X136">
        <v>0</v>
      </c>
      <c r="Y136">
        <v>0</v>
      </c>
      <c r="Z136">
        <v>1.6926015999999999E-2</v>
      </c>
      <c r="AA136">
        <v>1856</v>
      </c>
      <c r="AB136">
        <v>0</v>
      </c>
      <c r="AC136">
        <v>-27.5</v>
      </c>
      <c r="AD136">
        <v>-1.481681E-2</v>
      </c>
      <c r="AE136">
        <v>0</v>
      </c>
      <c r="AF136">
        <v>0</v>
      </c>
      <c r="AG136">
        <v>0</v>
      </c>
      <c r="AH136">
        <f t="shared" si="2"/>
        <v>0</v>
      </c>
    </row>
    <row r="137" spans="1:34" x14ac:dyDescent="0.25">
      <c r="A137" s="1">
        <v>43676</v>
      </c>
      <c r="B137">
        <v>260</v>
      </c>
      <c r="C137">
        <v>-3.8314180000000001E-3</v>
      </c>
      <c r="D137">
        <v>325.5</v>
      </c>
      <c r="E137">
        <v>2.0376175999999999E-2</v>
      </c>
      <c r="F137">
        <v>-2.4207592999999999E-2</v>
      </c>
      <c r="G137">
        <v>2.4207592999999999E-2</v>
      </c>
      <c r="H137">
        <v>7.2635360000000001E-3</v>
      </c>
      <c r="I137">
        <v>1.7102973E-2</v>
      </c>
      <c r="J137">
        <v>0</v>
      </c>
      <c r="K137">
        <v>1</v>
      </c>
      <c r="L137">
        <v>0</v>
      </c>
      <c r="M137">
        <v>5</v>
      </c>
      <c r="N137">
        <v>6.6579545449999999</v>
      </c>
      <c r="O137">
        <v>-1</v>
      </c>
      <c r="P137">
        <v>5</v>
      </c>
      <c r="Q137">
        <v>6</v>
      </c>
      <c r="R137">
        <v>260</v>
      </c>
      <c r="S137">
        <v>-1627.5</v>
      </c>
      <c r="T137">
        <v>-1</v>
      </c>
      <c r="U137">
        <v>-60</v>
      </c>
      <c r="V137" t="s">
        <v>37</v>
      </c>
      <c r="W137">
        <v>0</v>
      </c>
      <c r="X137">
        <v>0</v>
      </c>
      <c r="Y137">
        <v>0</v>
      </c>
      <c r="Z137">
        <v>1.7102973E-2</v>
      </c>
      <c r="AA137">
        <v>1887.5</v>
      </c>
      <c r="AB137">
        <v>0</v>
      </c>
      <c r="AC137">
        <v>-61</v>
      </c>
      <c r="AD137">
        <v>-3.2317881E-2</v>
      </c>
      <c r="AE137">
        <v>1</v>
      </c>
      <c r="AF137">
        <v>-61</v>
      </c>
      <c r="AG137">
        <v>0</v>
      </c>
      <c r="AH137">
        <f t="shared" si="2"/>
        <v>-3.2317880794701985E-2</v>
      </c>
    </row>
    <row r="138" spans="1:34" x14ac:dyDescent="0.25">
      <c r="A138" s="1">
        <v>43677</v>
      </c>
      <c r="B138">
        <v>259.5</v>
      </c>
      <c r="C138">
        <v>-1.923077E-3</v>
      </c>
      <c r="D138">
        <v>314.5</v>
      </c>
      <c r="E138">
        <v>-3.3794163000000002E-2</v>
      </c>
      <c r="F138">
        <v>3.1871086E-2</v>
      </c>
      <c r="G138">
        <v>3.1871086E-2</v>
      </c>
      <c r="H138">
        <v>6.3103550000000001E-3</v>
      </c>
      <c r="I138">
        <v>2.2553743000000001E-2</v>
      </c>
      <c r="J138">
        <v>1</v>
      </c>
      <c r="K138">
        <v>0</v>
      </c>
      <c r="L138">
        <v>-1</v>
      </c>
      <c r="M138">
        <v>5</v>
      </c>
      <c r="N138">
        <v>21.297485120000001</v>
      </c>
      <c r="O138">
        <v>-1</v>
      </c>
      <c r="P138">
        <v>5</v>
      </c>
      <c r="Q138">
        <v>6</v>
      </c>
      <c r="R138">
        <v>259.5</v>
      </c>
      <c r="S138">
        <v>-1572.5</v>
      </c>
      <c r="T138">
        <v>-1.5</v>
      </c>
      <c r="U138">
        <v>-5</v>
      </c>
      <c r="V138" t="s">
        <v>35</v>
      </c>
      <c r="W138">
        <v>259.5</v>
      </c>
      <c r="X138">
        <v>-1572.5</v>
      </c>
      <c r="Y138">
        <v>-6.5</v>
      </c>
      <c r="Z138">
        <v>2.2553743000000001E-2</v>
      </c>
      <c r="AA138">
        <v>1832</v>
      </c>
      <c r="AB138">
        <v>0</v>
      </c>
      <c r="AC138">
        <v>-6.5</v>
      </c>
      <c r="AD138">
        <v>-3.5480350000000002E-3</v>
      </c>
      <c r="AE138">
        <v>0</v>
      </c>
      <c r="AF138">
        <v>0</v>
      </c>
      <c r="AG138">
        <v>0</v>
      </c>
      <c r="AH138">
        <f t="shared" si="2"/>
        <v>0</v>
      </c>
    </row>
    <row r="139" spans="1:34" x14ac:dyDescent="0.25">
      <c r="A139" s="1">
        <v>43678</v>
      </c>
      <c r="B139">
        <v>256.5</v>
      </c>
      <c r="C139">
        <v>-1.1560694E-2</v>
      </c>
      <c r="D139">
        <v>314</v>
      </c>
      <c r="E139">
        <v>-1.589825E-3</v>
      </c>
      <c r="F139">
        <v>-9.9708690000000003E-3</v>
      </c>
      <c r="G139">
        <v>9.9708690000000003E-3</v>
      </c>
      <c r="H139">
        <v>6.5151979999999998E-3</v>
      </c>
      <c r="I139">
        <v>2.1602565000000001E-2</v>
      </c>
      <c r="J139">
        <v>0</v>
      </c>
      <c r="K139">
        <v>0</v>
      </c>
      <c r="L139">
        <v>0</v>
      </c>
      <c r="M139">
        <v>5</v>
      </c>
      <c r="N139">
        <v>0.16834791399999999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W139">
        <v>0</v>
      </c>
      <c r="X139">
        <v>0</v>
      </c>
      <c r="Y139">
        <v>0</v>
      </c>
      <c r="Z139">
        <v>2.1602565000000001E-2</v>
      </c>
      <c r="AA139">
        <v>0</v>
      </c>
      <c r="AB139" t="s">
        <v>33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f t="shared" si="2"/>
        <v>0</v>
      </c>
    </row>
    <row r="140" spans="1:34" x14ac:dyDescent="0.25">
      <c r="A140" s="1">
        <v>43679</v>
      </c>
      <c r="B140">
        <v>251.5</v>
      </c>
      <c r="C140">
        <v>-1.9493177E-2</v>
      </c>
      <c r="D140">
        <v>316</v>
      </c>
      <c r="E140">
        <v>6.3694270000000004E-3</v>
      </c>
      <c r="F140">
        <v>-2.5862604000000001E-2</v>
      </c>
      <c r="G140">
        <v>2.5862604000000001E-2</v>
      </c>
      <c r="H140">
        <v>8.0783729999999998E-3</v>
      </c>
      <c r="I140">
        <v>2.1750037999999999E-2</v>
      </c>
      <c r="J140">
        <v>0</v>
      </c>
      <c r="K140">
        <v>1</v>
      </c>
      <c r="L140">
        <v>1</v>
      </c>
      <c r="M140">
        <v>5</v>
      </c>
      <c r="N140">
        <v>0.41055070799999999</v>
      </c>
      <c r="O140">
        <v>3</v>
      </c>
      <c r="P140">
        <v>-5</v>
      </c>
      <c r="Q140">
        <v>8</v>
      </c>
      <c r="R140">
        <v>-754.5</v>
      </c>
      <c r="S140">
        <v>1580</v>
      </c>
      <c r="T140">
        <v>0</v>
      </c>
      <c r="U140">
        <v>0</v>
      </c>
      <c r="V140" t="s">
        <v>34</v>
      </c>
      <c r="W140">
        <v>-754.5</v>
      </c>
      <c r="X140">
        <v>1580</v>
      </c>
      <c r="Y140">
        <v>0</v>
      </c>
      <c r="Z140">
        <v>2.1750037999999999E-2</v>
      </c>
      <c r="AA140">
        <v>2334.5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2334.5</v>
      </c>
      <c r="AH140">
        <f t="shared" si="2"/>
        <v>0</v>
      </c>
    </row>
    <row r="141" spans="1:34" x14ac:dyDescent="0.25">
      <c r="A141" s="1">
        <v>43682</v>
      </c>
      <c r="B141">
        <v>246.5</v>
      </c>
      <c r="C141">
        <v>-1.9880716E-2</v>
      </c>
      <c r="D141">
        <v>312</v>
      </c>
      <c r="E141">
        <v>-1.2658228000000001E-2</v>
      </c>
      <c r="F141">
        <v>-7.222488E-3</v>
      </c>
      <c r="G141">
        <v>7.222488E-3</v>
      </c>
      <c r="H141">
        <v>8.4339199999999993E-3</v>
      </c>
      <c r="I141">
        <v>2.0431916000000001E-2</v>
      </c>
      <c r="J141">
        <v>0</v>
      </c>
      <c r="K141">
        <v>1</v>
      </c>
      <c r="L141">
        <v>0</v>
      </c>
      <c r="M141">
        <v>5</v>
      </c>
      <c r="N141">
        <v>0.80589519099999996</v>
      </c>
      <c r="O141">
        <v>-3</v>
      </c>
      <c r="P141">
        <v>5</v>
      </c>
      <c r="Q141">
        <v>8</v>
      </c>
      <c r="R141">
        <v>739.5</v>
      </c>
      <c r="S141">
        <v>-1560</v>
      </c>
      <c r="T141">
        <v>-15</v>
      </c>
      <c r="U141">
        <v>20</v>
      </c>
      <c r="V141" t="s">
        <v>37</v>
      </c>
      <c r="W141">
        <v>0</v>
      </c>
      <c r="X141">
        <v>0</v>
      </c>
      <c r="Y141">
        <v>0</v>
      </c>
      <c r="Z141">
        <v>2.0431916000000001E-2</v>
      </c>
      <c r="AA141">
        <v>2299.5</v>
      </c>
      <c r="AB141">
        <v>0</v>
      </c>
      <c r="AC141">
        <v>5</v>
      </c>
      <c r="AD141">
        <v>2.1743859999999999E-3</v>
      </c>
      <c r="AE141">
        <v>0</v>
      </c>
      <c r="AF141">
        <v>0</v>
      </c>
      <c r="AG141">
        <v>0</v>
      </c>
      <c r="AH141">
        <f t="shared" si="2"/>
        <v>0</v>
      </c>
    </row>
    <row r="142" spans="1:34" x14ac:dyDescent="0.25">
      <c r="A142" s="1">
        <v>43683</v>
      </c>
      <c r="B142">
        <v>248.5</v>
      </c>
      <c r="C142">
        <v>8.1135900000000004E-3</v>
      </c>
      <c r="D142">
        <v>309</v>
      </c>
      <c r="E142">
        <v>-9.6153850000000006E-3</v>
      </c>
      <c r="F142">
        <v>1.7728975000000001E-2</v>
      </c>
      <c r="G142">
        <v>1.7728975000000001E-2</v>
      </c>
      <c r="H142">
        <v>1.2020800999999999E-2</v>
      </c>
      <c r="I142">
        <v>1.5097463E-2</v>
      </c>
      <c r="J142">
        <v>1</v>
      </c>
      <c r="K142">
        <v>0</v>
      </c>
      <c r="L142">
        <v>-1</v>
      </c>
      <c r="M142">
        <v>5</v>
      </c>
      <c r="N142">
        <v>1.47362057</v>
      </c>
      <c r="O142">
        <v>-3</v>
      </c>
      <c r="P142">
        <v>5</v>
      </c>
      <c r="Q142">
        <v>8</v>
      </c>
      <c r="R142">
        <v>745.5</v>
      </c>
      <c r="S142">
        <v>-1545</v>
      </c>
      <c r="T142">
        <v>-9</v>
      </c>
      <c r="U142">
        <v>35</v>
      </c>
      <c r="V142" t="s">
        <v>35</v>
      </c>
      <c r="W142">
        <v>745.5</v>
      </c>
      <c r="X142">
        <v>-1545</v>
      </c>
      <c r="Y142">
        <v>26</v>
      </c>
      <c r="Z142">
        <v>1.5097463E-2</v>
      </c>
      <c r="AA142">
        <v>2290.5</v>
      </c>
      <c r="AB142">
        <v>0</v>
      </c>
      <c r="AC142">
        <v>26</v>
      </c>
      <c r="AD142">
        <v>1.1351233000000001E-2</v>
      </c>
      <c r="AE142">
        <v>0</v>
      </c>
      <c r="AF142">
        <v>26</v>
      </c>
      <c r="AG142">
        <v>0</v>
      </c>
      <c r="AH142">
        <f t="shared" si="2"/>
        <v>1.1351233355162629E-2</v>
      </c>
    </row>
    <row r="143" spans="1:34" x14ac:dyDescent="0.25">
      <c r="A143" s="1">
        <v>43684</v>
      </c>
      <c r="B143">
        <v>248</v>
      </c>
      <c r="C143">
        <v>-2.0120720000000002E-3</v>
      </c>
      <c r="D143">
        <v>318</v>
      </c>
      <c r="E143">
        <v>2.9126214000000001E-2</v>
      </c>
      <c r="F143">
        <v>-3.1138286000000001E-2</v>
      </c>
      <c r="G143">
        <v>3.1138286000000001E-2</v>
      </c>
      <c r="H143">
        <v>1.2007856000000001E-2</v>
      </c>
      <c r="I143">
        <v>1.6711210000000001E-2</v>
      </c>
      <c r="J143">
        <v>0</v>
      </c>
      <c r="K143">
        <v>1</v>
      </c>
      <c r="L143">
        <v>1</v>
      </c>
      <c r="M143">
        <v>5</v>
      </c>
      <c r="N143">
        <v>18.56161917</v>
      </c>
      <c r="O143">
        <v>93</v>
      </c>
      <c r="P143">
        <v>-5</v>
      </c>
      <c r="Q143">
        <v>98</v>
      </c>
      <c r="R143">
        <v>-23064</v>
      </c>
      <c r="S143">
        <v>1590</v>
      </c>
      <c r="T143">
        <v>0</v>
      </c>
      <c r="U143">
        <v>0</v>
      </c>
      <c r="V143" t="s">
        <v>34</v>
      </c>
      <c r="W143">
        <v>-23064</v>
      </c>
      <c r="X143">
        <v>1590</v>
      </c>
      <c r="Y143">
        <v>0</v>
      </c>
      <c r="Z143">
        <v>1.6711210000000001E-2</v>
      </c>
      <c r="AA143">
        <v>24654</v>
      </c>
      <c r="AB143">
        <v>0.01</v>
      </c>
      <c r="AC143">
        <v>0</v>
      </c>
      <c r="AD143">
        <v>0</v>
      </c>
      <c r="AE143">
        <v>0</v>
      </c>
      <c r="AF143">
        <v>0</v>
      </c>
      <c r="AG143">
        <v>24654</v>
      </c>
      <c r="AH143">
        <f t="shared" si="2"/>
        <v>0</v>
      </c>
    </row>
    <row r="144" spans="1:34" x14ac:dyDescent="0.25">
      <c r="A144" s="1">
        <v>43685</v>
      </c>
      <c r="B144">
        <v>253.5</v>
      </c>
      <c r="C144">
        <v>2.2177419E-2</v>
      </c>
      <c r="D144">
        <v>316.5</v>
      </c>
      <c r="E144">
        <v>-4.7169810000000003E-3</v>
      </c>
      <c r="F144">
        <v>2.6894399999999999E-2</v>
      </c>
      <c r="G144">
        <v>2.6894399999999999E-2</v>
      </c>
      <c r="H144">
        <v>1.8113006000000001E-2</v>
      </c>
      <c r="I144">
        <v>1.6951217000000001E-2</v>
      </c>
      <c r="J144">
        <v>1</v>
      </c>
      <c r="K144">
        <v>0</v>
      </c>
      <c r="L144">
        <v>-1</v>
      </c>
      <c r="M144">
        <v>5</v>
      </c>
      <c r="N144">
        <v>0.26555157499999998</v>
      </c>
      <c r="O144">
        <v>-93</v>
      </c>
      <c r="P144">
        <v>5</v>
      </c>
      <c r="Q144">
        <v>98</v>
      </c>
      <c r="R144">
        <v>23575.5</v>
      </c>
      <c r="S144">
        <v>-1582.5</v>
      </c>
      <c r="T144">
        <v>511.5</v>
      </c>
      <c r="U144">
        <v>7.5</v>
      </c>
      <c r="V144" t="s">
        <v>35</v>
      </c>
      <c r="W144">
        <v>23575.5</v>
      </c>
      <c r="X144">
        <v>-1582.5</v>
      </c>
      <c r="Y144">
        <v>519</v>
      </c>
      <c r="Z144">
        <v>1.8113006000000001E-2</v>
      </c>
      <c r="AA144">
        <v>25158</v>
      </c>
      <c r="AB144">
        <v>0.01</v>
      </c>
      <c r="AC144">
        <v>519</v>
      </c>
      <c r="AD144">
        <v>2.0629621000000001E-2</v>
      </c>
      <c r="AE144">
        <v>0</v>
      </c>
      <c r="AF144">
        <v>519</v>
      </c>
      <c r="AG144">
        <v>0</v>
      </c>
      <c r="AH144">
        <f t="shared" si="2"/>
        <v>2.0629620796565704E-2</v>
      </c>
    </row>
    <row r="145" spans="1:34" x14ac:dyDescent="0.25">
      <c r="A145" s="1">
        <v>43689</v>
      </c>
      <c r="B145">
        <v>251</v>
      </c>
      <c r="C145">
        <v>-9.8619329999999998E-3</v>
      </c>
      <c r="D145">
        <v>323</v>
      </c>
      <c r="E145">
        <v>2.0537125E-2</v>
      </c>
      <c r="F145">
        <v>-3.0399058E-2</v>
      </c>
      <c r="G145">
        <v>3.0399058E-2</v>
      </c>
      <c r="H145">
        <v>1.6231057E-2</v>
      </c>
      <c r="I145">
        <v>1.8988386999999999E-2</v>
      </c>
      <c r="J145">
        <v>0</v>
      </c>
      <c r="K145">
        <v>1</v>
      </c>
      <c r="L145">
        <v>1</v>
      </c>
      <c r="M145">
        <v>5</v>
      </c>
      <c r="N145">
        <v>2.6798247769999999</v>
      </c>
      <c r="O145">
        <v>14</v>
      </c>
      <c r="P145">
        <v>-5</v>
      </c>
      <c r="Q145">
        <v>19</v>
      </c>
      <c r="R145">
        <v>-3514</v>
      </c>
      <c r="S145">
        <v>1615</v>
      </c>
      <c r="T145">
        <v>0</v>
      </c>
      <c r="U145">
        <v>0</v>
      </c>
      <c r="V145" t="s">
        <v>34</v>
      </c>
      <c r="W145">
        <v>-3514</v>
      </c>
      <c r="X145">
        <v>1615</v>
      </c>
      <c r="Y145">
        <v>0</v>
      </c>
      <c r="Z145">
        <v>1.8988386999999999E-2</v>
      </c>
      <c r="AA145">
        <v>5129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5129</v>
      </c>
      <c r="AH145">
        <f t="shared" si="2"/>
        <v>0</v>
      </c>
    </row>
    <row r="146" spans="1:34" x14ac:dyDescent="0.25">
      <c r="A146" s="1">
        <v>43690</v>
      </c>
      <c r="B146">
        <v>246.5</v>
      </c>
      <c r="C146">
        <v>-1.7928287000000001E-2</v>
      </c>
      <c r="D146">
        <v>318</v>
      </c>
      <c r="E146">
        <v>-1.5479876E-2</v>
      </c>
      <c r="F146">
        <v>-2.4484110000000002E-3</v>
      </c>
      <c r="G146">
        <v>2.4484110000000002E-3</v>
      </c>
      <c r="H146">
        <v>1.5655272000000001E-2</v>
      </c>
      <c r="I146">
        <v>1.9657241999999998E-2</v>
      </c>
      <c r="J146">
        <v>0</v>
      </c>
      <c r="K146">
        <v>1</v>
      </c>
      <c r="L146">
        <v>0</v>
      </c>
      <c r="M146">
        <v>5</v>
      </c>
      <c r="N146">
        <v>1.1138812309999999</v>
      </c>
      <c r="O146">
        <v>-14</v>
      </c>
      <c r="P146">
        <v>5</v>
      </c>
      <c r="Q146">
        <v>19</v>
      </c>
      <c r="R146">
        <v>3451</v>
      </c>
      <c r="S146">
        <v>-1590</v>
      </c>
      <c r="T146">
        <v>-63</v>
      </c>
      <c r="U146">
        <v>25</v>
      </c>
      <c r="V146" t="s">
        <v>37</v>
      </c>
      <c r="W146">
        <v>0</v>
      </c>
      <c r="X146">
        <v>0</v>
      </c>
      <c r="Y146">
        <v>0</v>
      </c>
      <c r="Z146">
        <v>1.9657241999999998E-2</v>
      </c>
      <c r="AA146">
        <v>5041</v>
      </c>
      <c r="AB146">
        <v>0</v>
      </c>
      <c r="AC146">
        <v>-38</v>
      </c>
      <c r="AD146">
        <v>-7.538187E-3</v>
      </c>
      <c r="AE146">
        <v>0</v>
      </c>
      <c r="AF146">
        <v>0</v>
      </c>
      <c r="AG146">
        <v>0</v>
      </c>
      <c r="AH146">
        <f t="shared" si="2"/>
        <v>0</v>
      </c>
    </row>
    <row r="147" spans="1:34" x14ac:dyDescent="0.25">
      <c r="A147" s="1">
        <v>43691</v>
      </c>
      <c r="B147">
        <v>249.5</v>
      </c>
      <c r="C147">
        <v>1.2170385000000001E-2</v>
      </c>
      <c r="D147">
        <v>319.5</v>
      </c>
      <c r="E147">
        <v>4.7169810000000003E-3</v>
      </c>
      <c r="F147">
        <v>7.4534040000000003E-3</v>
      </c>
      <c r="G147">
        <v>7.4534040000000003E-3</v>
      </c>
      <c r="H147">
        <v>1.6267710000000001E-2</v>
      </c>
      <c r="I147">
        <v>1.8169579000000002E-2</v>
      </c>
      <c r="J147">
        <v>1</v>
      </c>
      <c r="K147">
        <v>0</v>
      </c>
      <c r="L147">
        <v>-1</v>
      </c>
      <c r="M147">
        <v>5</v>
      </c>
      <c r="N147">
        <v>0.49631810799999998</v>
      </c>
      <c r="O147">
        <v>-14</v>
      </c>
      <c r="P147">
        <v>5</v>
      </c>
      <c r="Q147">
        <v>19</v>
      </c>
      <c r="R147">
        <v>3493</v>
      </c>
      <c r="S147">
        <v>-1597.5</v>
      </c>
      <c r="T147">
        <v>-21</v>
      </c>
      <c r="U147">
        <v>17.5</v>
      </c>
      <c r="V147" t="s">
        <v>35</v>
      </c>
      <c r="W147">
        <v>3493</v>
      </c>
      <c r="X147">
        <v>-1597.5</v>
      </c>
      <c r="Y147">
        <v>-3.5</v>
      </c>
      <c r="Z147">
        <v>1.8169579000000002E-2</v>
      </c>
      <c r="AA147">
        <v>5090.5</v>
      </c>
      <c r="AB147">
        <v>0</v>
      </c>
      <c r="AC147">
        <v>-3.5</v>
      </c>
      <c r="AD147">
        <v>-6.8755499999999996E-4</v>
      </c>
      <c r="AE147">
        <v>0</v>
      </c>
      <c r="AF147">
        <v>-3.5</v>
      </c>
      <c r="AG147">
        <v>0</v>
      </c>
      <c r="AH147">
        <f t="shared" si="2"/>
        <v>-6.8755524997544449E-4</v>
      </c>
    </row>
    <row r="148" spans="1:34" x14ac:dyDescent="0.25">
      <c r="A148" s="1">
        <v>43692</v>
      </c>
      <c r="B148">
        <v>248</v>
      </c>
      <c r="C148">
        <v>-6.0120240000000004E-3</v>
      </c>
      <c r="D148">
        <v>316.5</v>
      </c>
      <c r="E148">
        <v>-9.3896710000000005E-3</v>
      </c>
      <c r="F148">
        <v>3.3776470000000001E-3</v>
      </c>
      <c r="G148">
        <v>3.3776470000000001E-3</v>
      </c>
      <c r="H148">
        <v>1.6543294E-2</v>
      </c>
      <c r="I148">
        <v>1.4056243E-2</v>
      </c>
      <c r="J148">
        <v>1</v>
      </c>
      <c r="K148">
        <v>0</v>
      </c>
      <c r="L148">
        <v>0</v>
      </c>
      <c r="M148">
        <v>5</v>
      </c>
      <c r="N148">
        <v>1.993203847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W148">
        <v>0</v>
      </c>
      <c r="X148">
        <v>0</v>
      </c>
      <c r="Y148">
        <v>0</v>
      </c>
      <c r="Z148">
        <v>1.6543294E-2</v>
      </c>
      <c r="AA148">
        <v>0</v>
      </c>
      <c r="AB148" t="s">
        <v>33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f t="shared" si="2"/>
        <v>0</v>
      </c>
    </row>
    <row r="149" spans="1:34" x14ac:dyDescent="0.25">
      <c r="A149" s="1">
        <v>43693</v>
      </c>
      <c r="B149">
        <v>250</v>
      </c>
      <c r="C149">
        <v>8.0645160000000007E-3</v>
      </c>
      <c r="D149">
        <v>322</v>
      </c>
      <c r="E149">
        <v>1.7377567E-2</v>
      </c>
      <c r="F149">
        <v>-9.3130509999999993E-3</v>
      </c>
      <c r="G149">
        <v>9.3130509999999993E-3</v>
      </c>
      <c r="H149">
        <v>1.2561506E-2</v>
      </c>
      <c r="I149">
        <v>1.5895731E-2</v>
      </c>
      <c r="J149">
        <v>0</v>
      </c>
      <c r="K149">
        <v>0</v>
      </c>
      <c r="L149">
        <v>0</v>
      </c>
      <c r="M149">
        <v>5</v>
      </c>
      <c r="N149">
        <v>2.7754060030000001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W149">
        <v>0</v>
      </c>
      <c r="X149">
        <v>0</v>
      </c>
      <c r="Y149">
        <v>0</v>
      </c>
      <c r="Z149">
        <v>1.5895731E-2</v>
      </c>
      <c r="AA149">
        <v>0</v>
      </c>
      <c r="AB149" t="s">
        <v>33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f t="shared" si="2"/>
        <v>0</v>
      </c>
    </row>
    <row r="150" spans="1:34" x14ac:dyDescent="0.25">
      <c r="A150" s="1">
        <v>43696</v>
      </c>
      <c r="B150">
        <v>252</v>
      </c>
      <c r="C150">
        <v>8.0000000000000002E-3</v>
      </c>
      <c r="D150">
        <v>353</v>
      </c>
      <c r="E150">
        <v>9.6273291999999996E-2</v>
      </c>
      <c r="F150">
        <v>-8.8273292000000003E-2</v>
      </c>
      <c r="G150">
        <v>8.8273292000000003E-2</v>
      </c>
      <c r="H150">
        <v>1.2560194E-2</v>
      </c>
      <c r="I150">
        <v>4.5200062999999999E-2</v>
      </c>
      <c r="J150">
        <v>0</v>
      </c>
      <c r="K150">
        <v>1</v>
      </c>
      <c r="L150">
        <v>1</v>
      </c>
      <c r="M150">
        <v>5</v>
      </c>
      <c r="N150">
        <v>16.85737701</v>
      </c>
      <c r="O150">
        <v>85</v>
      </c>
      <c r="P150">
        <v>-5</v>
      </c>
      <c r="Q150">
        <v>90</v>
      </c>
      <c r="R150">
        <v>-21420</v>
      </c>
      <c r="S150">
        <v>1765</v>
      </c>
      <c r="T150">
        <v>0</v>
      </c>
      <c r="U150">
        <v>0</v>
      </c>
      <c r="V150" t="s">
        <v>34</v>
      </c>
      <c r="W150">
        <v>-21420</v>
      </c>
      <c r="X150">
        <v>1765</v>
      </c>
      <c r="Y150">
        <v>0</v>
      </c>
      <c r="Z150">
        <v>4.5200062999999999E-2</v>
      </c>
      <c r="AA150">
        <v>23185</v>
      </c>
      <c r="AB150">
        <v>0.01</v>
      </c>
      <c r="AC150">
        <v>0</v>
      </c>
      <c r="AD150">
        <v>0</v>
      </c>
      <c r="AE150">
        <v>0</v>
      </c>
      <c r="AF150">
        <v>0</v>
      </c>
      <c r="AG150">
        <v>23185</v>
      </c>
      <c r="AH150">
        <f t="shared" si="2"/>
        <v>0</v>
      </c>
    </row>
    <row r="151" spans="1:34" x14ac:dyDescent="0.25">
      <c r="A151" s="1">
        <v>43697</v>
      </c>
      <c r="B151">
        <v>254.5</v>
      </c>
      <c r="C151">
        <v>9.9206350000000006E-3</v>
      </c>
      <c r="D151">
        <v>351</v>
      </c>
      <c r="E151">
        <v>-5.6657219999999998E-3</v>
      </c>
      <c r="F151">
        <v>1.5586357E-2</v>
      </c>
      <c r="G151">
        <v>1.5586357E-2</v>
      </c>
      <c r="H151">
        <v>7.1602560000000003E-3</v>
      </c>
      <c r="I151">
        <v>4.3526861E-2</v>
      </c>
      <c r="J151">
        <v>1</v>
      </c>
      <c r="K151">
        <v>0</v>
      </c>
      <c r="L151">
        <v>-1</v>
      </c>
      <c r="M151">
        <v>5</v>
      </c>
      <c r="N151">
        <v>0.78765339999999995</v>
      </c>
      <c r="O151">
        <v>-85</v>
      </c>
      <c r="P151">
        <v>5</v>
      </c>
      <c r="Q151">
        <v>90</v>
      </c>
      <c r="R151">
        <v>21632.5</v>
      </c>
      <c r="S151">
        <v>-1755</v>
      </c>
      <c r="T151">
        <v>212.5</v>
      </c>
      <c r="U151">
        <v>10</v>
      </c>
      <c r="V151" t="s">
        <v>35</v>
      </c>
      <c r="W151">
        <v>21632.5</v>
      </c>
      <c r="X151">
        <v>-1755</v>
      </c>
      <c r="Y151">
        <v>222.5</v>
      </c>
      <c r="Z151">
        <v>4.3526861E-2</v>
      </c>
      <c r="AA151">
        <v>23387.5</v>
      </c>
      <c r="AB151">
        <v>0.01</v>
      </c>
      <c r="AC151">
        <v>222.5</v>
      </c>
      <c r="AD151">
        <v>9.5136289999999991E-3</v>
      </c>
      <c r="AE151">
        <v>0</v>
      </c>
      <c r="AF151">
        <v>222.5</v>
      </c>
      <c r="AG151">
        <v>0</v>
      </c>
      <c r="AH151">
        <f t="shared" si="2"/>
        <v>9.5136290753607688E-3</v>
      </c>
    </row>
    <row r="152" spans="1:34" x14ac:dyDescent="0.25">
      <c r="A152" s="1">
        <v>43698</v>
      </c>
      <c r="B152">
        <v>254.5</v>
      </c>
      <c r="C152">
        <v>0</v>
      </c>
      <c r="D152">
        <v>347</v>
      </c>
      <c r="E152">
        <v>-1.1396010999999999E-2</v>
      </c>
      <c r="F152">
        <v>1.1396010999999999E-2</v>
      </c>
      <c r="G152">
        <v>1.1396010999999999E-2</v>
      </c>
      <c r="H152">
        <v>6.7789139999999996E-3</v>
      </c>
      <c r="I152">
        <v>4.5551928999999998E-2</v>
      </c>
      <c r="J152">
        <v>1</v>
      </c>
      <c r="K152">
        <v>0</v>
      </c>
      <c r="L152">
        <v>0</v>
      </c>
      <c r="M152">
        <v>5</v>
      </c>
      <c r="N152" t="s">
        <v>36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W152">
        <v>0</v>
      </c>
      <c r="X152">
        <v>0</v>
      </c>
      <c r="Y152">
        <v>0</v>
      </c>
      <c r="Z152">
        <v>4.5551928999999998E-2</v>
      </c>
      <c r="AA152">
        <v>0</v>
      </c>
      <c r="AB152" t="s">
        <v>33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f t="shared" si="2"/>
        <v>0</v>
      </c>
    </row>
    <row r="153" spans="1:34" x14ac:dyDescent="0.25">
      <c r="A153" s="1">
        <v>43699</v>
      </c>
      <c r="B153">
        <v>254</v>
      </c>
      <c r="C153">
        <v>-1.964637E-3</v>
      </c>
      <c r="D153">
        <v>345</v>
      </c>
      <c r="E153">
        <v>-5.7636889999999998E-3</v>
      </c>
      <c r="F153">
        <v>3.7990519999999998E-3</v>
      </c>
      <c r="G153">
        <v>3.7990519999999998E-3</v>
      </c>
      <c r="H153">
        <v>5.3832660000000003E-3</v>
      </c>
      <c r="I153">
        <v>4.5044045999999997E-2</v>
      </c>
      <c r="J153">
        <v>1</v>
      </c>
      <c r="K153">
        <v>0</v>
      </c>
      <c r="L153">
        <v>0</v>
      </c>
      <c r="M153">
        <v>5</v>
      </c>
      <c r="N153">
        <v>3.9847738769999999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W153">
        <v>0</v>
      </c>
      <c r="X153">
        <v>0</v>
      </c>
      <c r="Y153">
        <v>0</v>
      </c>
      <c r="Z153">
        <v>4.5044045999999997E-2</v>
      </c>
      <c r="AA153">
        <v>0</v>
      </c>
      <c r="AB153" t="s">
        <v>33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f t="shared" si="2"/>
        <v>0</v>
      </c>
    </row>
    <row r="154" spans="1:34" x14ac:dyDescent="0.25">
      <c r="A154" s="1">
        <v>43700</v>
      </c>
      <c r="B154">
        <v>254</v>
      </c>
      <c r="C154">
        <v>0</v>
      </c>
      <c r="D154">
        <v>342.5</v>
      </c>
      <c r="E154">
        <v>-7.246377E-3</v>
      </c>
      <c r="F154">
        <v>7.246377E-3</v>
      </c>
      <c r="G154">
        <v>7.246377E-3</v>
      </c>
      <c r="H154">
        <v>5.3702890000000003E-3</v>
      </c>
      <c r="I154">
        <v>4.6475044E-2</v>
      </c>
      <c r="J154">
        <v>1</v>
      </c>
      <c r="K154">
        <v>0</v>
      </c>
      <c r="L154">
        <v>0</v>
      </c>
      <c r="M154">
        <v>5</v>
      </c>
      <c r="N154" t="s">
        <v>36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W154">
        <v>0</v>
      </c>
      <c r="X154">
        <v>0</v>
      </c>
      <c r="Y154">
        <v>0</v>
      </c>
      <c r="Z154">
        <v>4.6475044E-2</v>
      </c>
      <c r="AA154">
        <v>0</v>
      </c>
      <c r="AB154" t="s">
        <v>33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f t="shared" si="2"/>
        <v>0</v>
      </c>
    </row>
    <row r="155" spans="1:34" x14ac:dyDescent="0.25">
      <c r="A155" s="1">
        <v>43703</v>
      </c>
      <c r="B155">
        <v>248.5</v>
      </c>
      <c r="C155">
        <v>-2.1653543000000001E-2</v>
      </c>
      <c r="D155">
        <v>343</v>
      </c>
      <c r="E155">
        <v>1.459854E-3</v>
      </c>
      <c r="F155">
        <v>-2.3113397000000001E-2</v>
      </c>
      <c r="G155">
        <v>2.3113397000000001E-2</v>
      </c>
      <c r="H155">
        <v>1.1550217999999999E-2</v>
      </c>
      <c r="I155">
        <v>4.63956E-3</v>
      </c>
      <c r="J155">
        <v>0</v>
      </c>
      <c r="K155">
        <v>1</v>
      </c>
      <c r="L155">
        <v>1</v>
      </c>
      <c r="M155">
        <v>5</v>
      </c>
      <c r="N155">
        <v>9.3056815000000001E-2</v>
      </c>
      <c r="O155">
        <v>1</v>
      </c>
      <c r="P155">
        <v>-5</v>
      </c>
      <c r="Q155">
        <v>6</v>
      </c>
      <c r="R155">
        <v>-248.5</v>
      </c>
      <c r="S155">
        <v>1715</v>
      </c>
      <c r="T155">
        <v>0</v>
      </c>
      <c r="U155">
        <v>0</v>
      </c>
      <c r="V155" t="s">
        <v>34</v>
      </c>
      <c r="W155">
        <v>-248.5</v>
      </c>
      <c r="X155">
        <v>1715</v>
      </c>
      <c r="Y155">
        <v>0</v>
      </c>
      <c r="Z155">
        <v>1.1550217999999999E-2</v>
      </c>
      <c r="AA155">
        <v>1963.5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1963.5</v>
      </c>
      <c r="AH155">
        <f t="shared" si="2"/>
        <v>0</v>
      </c>
    </row>
    <row r="156" spans="1:34" x14ac:dyDescent="0.25">
      <c r="A156" s="1">
        <v>43704</v>
      </c>
      <c r="B156">
        <v>250</v>
      </c>
      <c r="C156">
        <v>6.036217E-3</v>
      </c>
      <c r="D156">
        <v>345.5</v>
      </c>
      <c r="E156">
        <v>7.2886299999999999E-3</v>
      </c>
      <c r="F156">
        <v>-1.2524120000000001E-3</v>
      </c>
      <c r="G156">
        <v>1.2524120000000001E-3</v>
      </c>
      <c r="H156">
        <v>1.0575285E-2</v>
      </c>
      <c r="I156">
        <v>7.4468520000000003E-3</v>
      </c>
      <c r="J156">
        <v>0</v>
      </c>
      <c r="K156">
        <v>1</v>
      </c>
      <c r="L156">
        <v>0</v>
      </c>
      <c r="M156">
        <v>5</v>
      </c>
      <c r="N156">
        <v>1.6687414970000001</v>
      </c>
      <c r="O156">
        <v>-1</v>
      </c>
      <c r="P156">
        <v>5</v>
      </c>
      <c r="Q156">
        <v>6</v>
      </c>
      <c r="R156">
        <v>250</v>
      </c>
      <c r="S156">
        <v>-1727.5</v>
      </c>
      <c r="T156">
        <v>1.5</v>
      </c>
      <c r="U156">
        <v>-12.5</v>
      </c>
      <c r="V156" t="s">
        <v>37</v>
      </c>
      <c r="W156">
        <v>0</v>
      </c>
      <c r="X156">
        <v>0</v>
      </c>
      <c r="Y156">
        <v>0</v>
      </c>
      <c r="Z156">
        <v>1.0575285E-2</v>
      </c>
      <c r="AA156">
        <v>1977.5</v>
      </c>
      <c r="AB156">
        <v>0</v>
      </c>
      <c r="AC156">
        <v>-11</v>
      </c>
      <c r="AD156">
        <v>-5.5625789999999998E-3</v>
      </c>
      <c r="AE156">
        <v>0</v>
      </c>
      <c r="AF156">
        <v>0</v>
      </c>
      <c r="AG156">
        <v>0</v>
      </c>
      <c r="AH156">
        <f t="shared" si="2"/>
        <v>0</v>
      </c>
    </row>
    <row r="157" spans="1:34" x14ac:dyDescent="0.25">
      <c r="A157" s="1">
        <v>43705</v>
      </c>
      <c r="B157">
        <v>252</v>
      </c>
      <c r="C157">
        <v>8.0000000000000002E-3</v>
      </c>
      <c r="D157">
        <v>366</v>
      </c>
      <c r="E157">
        <v>5.9334298000000001E-2</v>
      </c>
      <c r="F157">
        <v>-5.1334298E-2</v>
      </c>
      <c r="G157">
        <v>5.1334298E-2</v>
      </c>
      <c r="H157">
        <v>1.177719E-2</v>
      </c>
      <c r="I157">
        <v>2.7635771999999999E-2</v>
      </c>
      <c r="J157">
        <v>0</v>
      </c>
      <c r="K157">
        <v>1</v>
      </c>
      <c r="L157">
        <v>0</v>
      </c>
      <c r="M157">
        <v>5</v>
      </c>
      <c r="N157">
        <v>10.77200055</v>
      </c>
      <c r="O157">
        <v>-1</v>
      </c>
      <c r="P157">
        <v>5</v>
      </c>
      <c r="Q157">
        <v>6</v>
      </c>
      <c r="R157">
        <v>252</v>
      </c>
      <c r="S157">
        <v>-1830</v>
      </c>
      <c r="T157">
        <v>3.5</v>
      </c>
      <c r="U157">
        <v>-115</v>
      </c>
      <c r="V157" t="s">
        <v>37</v>
      </c>
      <c r="W157">
        <v>0</v>
      </c>
      <c r="X157">
        <v>0</v>
      </c>
      <c r="Y157">
        <v>0</v>
      </c>
      <c r="Z157">
        <v>2.7635771999999999E-2</v>
      </c>
      <c r="AA157">
        <v>2082</v>
      </c>
      <c r="AB157">
        <v>0</v>
      </c>
      <c r="AC157">
        <v>-111.5</v>
      </c>
      <c r="AD157">
        <v>-5.3554274999999998E-2</v>
      </c>
      <c r="AE157">
        <v>1</v>
      </c>
      <c r="AF157">
        <v>-111.5</v>
      </c>
      <c r="AG157">
        <v>0</v>
      </c>
      <c r="AH157">
        <f t="shared" si="2"/>
        <v>-5.355427473583093E-2</v>
      </c>
    </row>
    <row r="158" spans="1:34" x14ac:dyDescent="0.25">
      <c r="A158" s="1">
        <v>43706</v>
      </c>
      <c r="B158">
        <v>254</v>
      </c>
      <c r="C158">
        <v>7.9365080000000001E-3</v>
      </c>
      <c r="D158">
        <v>365.5</v>
      </c>
      <c r="E158">
        <v>-1.36612E-3</v>
      </c>
      <c r="F158">
        <v>9.3026280000000003E-3</v>
      </c>
      <c r="G158">
        <v>9.3026280000000003E-3</v>
      </c>
      <c r="H158">
        <v>1.2572586E-2</v>
      </c>
      <c r="I158">
        <v>2.7031683000000001E-2</v>
      </c>
      <c r="J158">
        <v>1</v>
      </c>
      <c r="K158">
        <v>0</v>
      </c>
      <c r="L158">
        <v>-1</v>
      </c>
      <c r="M158">
        <v>5</v>
      </c>
      <c r="N158">
        <v>0.24769265500000001</v>
      </c>
      <c r="O158">
        <v>-1</v>
      </c>
      <c r="P158">
        <v>5</v>
      </c>
      <c r="Q158">
        <v>6</v>
      </c>
      <c r="R158">
        <v>254</v>
      </c>
      <c r="S158">
        <v>-1827.5</v>
      </c>
      <c r="T158">
        <v>5.5</v>
      </c>
      <c r="U158">
        <v>-112.5</v>
      </c>
      <c r="V158" t="s">
        <v>35</v>
      </c>
      <c r="W158">
        <v>254</v>
      </c>
      <c r="X158">
        <v>-1827.5</v>
      </c>
      <c r="Y158">
        <v>-107</v>
      </c>
      <c r="Z158">
        <v>2.7031683000000001E-2</v>
      </c>
      <c r="AA158">
        <v>2081.5</v>
      </c>
      <c r="AB158">
        <v>0</v>
      </c>
      <c r="AC158">
        <v>-107</v>
      </c>
      <c r="AD158">
        <v>-5.1405236999999999E-2</v>
      </c>
      <c r="AE158">
        <v>1</v>
      </c>
      <c r="AF158">
        <v>0</v>
      </c>
      <c r="AG158">
        <v>0</v>
      </c>
      <c r="AH158">
        <f t="shared" si="2"/>
        <v>0</v>
      </c>
    </row>
    <row r="159" spans="1:34" x14ac:dyDescent="0.25">
      <c r="A159" s="1">
        <v>43707</v>
      </c>
      <c r="B159">
        <v>259</v>
      </c>
      <c r="C159">
        <v>1.9685039000000001E-2</v>
      </c>
      <c r="D159">
        <v>367.5</v>
      </c>
      <c r="E159">
        <v>5.471956E-3</v>
      </c>
      <c r="F159">
        <v>1.4213083E-2</v>
      </c>
      <c r="G159">
        <v>1.4213083E-2</v>
      </c>
      <c r="H159">
        <v>1.5327810000000001E-2</v>
      </c>
      <c r="I159">
        <v>2.5324808000000001E-2</v>
      </c>
      <c r="J159">
        <v>1</v>
      </c>
      <c r="K159">
        <v>0</v>
      </c>
      <c r="L159">
        <v>0</v>
      </c>
      <c r="M159">
        <v>5</v>
      </c>
      <c r="N159">
        <v>0.39442452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W159">
        <v>0</v>
      </c>
      <c r="X159">
        <v>0</v>
      </c>
      <c r="Y159">
        <v>0</v>
      </c>
      <c r="Z159">
        <v>2.5324808000000001E-2</v>
      </c>
      <c r="AA159">
        <v>0</v>
      </c>
      <c r="AB159" t="s">
        <v>33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f t="shared" si="2"/>
        <v>0</v>
      </c>
    </row>
    <row r="160" spans="1:34" x14ac:dyDescent="0.25">
      <c r="A160" s="1">
        <v>43710</v>
      </c>
      <c r="B160">
        <v>257.5</v>
      </c>
      <c r="C160">
        <v>-5.7915060000000001E-3</v>
      </c>
      <c r="D160">
        <v>370.5</v>
      </c>
      <c r="E160">
        <v>8.1632649999999994E-3</v>
      </c>
      <c r="F160">
        <v>-1.3954770999999999E-2</v>
      </c>
      <c r="G160">
        <v>1.3954770999999999E-2</v>
      </c>
      <c r="H160">
        <v>9.0441789999999994E-3</v>
      </c>
      <c r="I160">
        <v>2.4634021999999998E-2</v>
      </c>
      <c r="J160">
        <v>0</v>
      </c>
      <c r="K160">
        <v>0</v>
      </c>
      <c r="L160">
        <v>0</v>
      </c>
      <c r="M160">
        <v>5</v>
      </c>
      <c r="N160">
        <v>2.0280721220000002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W160">
        <v>0</v>
      </c>
      <c r="X160">
        <v>0</v>
      </c>
      <c r="Y160">
        <v>0</v>
      </c>
      <c r="Z160">
        <v>2.4634021999999998E-2</v>
      </c>
      <c r="AA160">
        <v>0</v>
      </c>
      <c r="AB160" t="s">
        <v>33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f t="shared" si="2"/>
        <v>0</v>
      </c>
    </row>
    <row r="161" spans="1:34" x14ac:dyDescent="0.25">
      <c r="A161" s="1">
        <v>43711</v>
      </c>
      <c r="B161">
        <v>254</v>
      </c>
      <c r="C161">
        <v>-1.3592233E-2</v>
      </c>
      <c r="D161">
        <v>364</v>
      </c>
      <c r="E161">
        <v>-1.7543860000000001E-2</v>
      </c>
      <c r="F161">
        <v>3.9516270000000001E-3</v>
      </c>
      <c r="G161">
        <v>3.9516270000000001E-3</v>
      </c>
      <c r="H161">
        <v>1.3038846E-2</v>
      </c>
      <c r="I161">
        <v>2.8906343000000001E-2</v>
      </c>
      <c r="J161">
        <v>1</v>
      </c>
      <c r="K161">
        <v>0</v>
      </c>
      <c r="L161">
        <v>0</v>
      </c>
      <c r="M161">
        <v>5</v>
      </c>
      <c r="N161">
        <v>1.8497029979999999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W161">
        <v>0</v>
      </c>
      <c r="X161">
        <v>0</v>
      </c>
      <c r="Y161">
        <v>0</v>
      </c>
      <c r="Z161">
        <v>2.8906343000000001E-2</v>
      </c>
      <c r="AA161">
        <v>0</v>
      </c>
      <c r="AB161" t="s">
        <v>33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f t="shared" si="2"/>
        <v>0</v>
      </c>
    </row>
    <row r="162" spans="1:34" x14ac:dyDescent="0.25">
      <c r="A162" s="1">
        <v>43712</v>
      </c>
      <c r="B162">
        <v>257.5</v>
      </c>
      <c r="C162">
        <v>1.3779527999999999E-2</v>
      </c>
      <c r="D162">
        <v>365</v>
      </c>
      <c r="E162">
        <v>2.7472529999999998E-3</v>
      </c>
      <c r="F162">
        <v>1.1032274999999999E-2</v>
      </c>
      <c r="G162">
        <v>1.1032274999999999E-2</v>
      </c>
      <c r="H162">
        <v>1.3799475E-2</v>
      </c>
      <c r="I162">
        <v>1.01551E-2</v>
      </c>
      <c r="J162">
        <v>1</v>
      </c>
      <c r="K162">
        <v>0</v>
      </c>
      <c r="L162">
        <v>0</v>
      </c>
      <c r="M162">
        <v>5</v>
      </c>
      <c r="N162">
        <v>0.282605051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W162">
        <v>0</v>
      </c>
      <c r="X162">
        <v>0</v>
      </c>
      <c r="Y162">
        <v>0</v>
      </c>
      <c r="Z162">
        <v>1.3799475E-2</v>
      </c>
      <c r="AA162">
        <v>0</v>
      </c>
      <c r="AB162" t="s">
        <v>33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f t="shared" si="2"/>
        <v>0</v>
      </c>
    </row>
    <row r="163" spans="1:34" x14ac:dyDescent="0.25">
      <c r="A163" s="1">
        <v>43713</v>
      </c>
      <c r="B163">
        <v>263</v>
      </c>
      <c r="C163">
        <v>2.1359223E-2</v>
      </c>
      <c r="D163">
        <v>367.5</v>
      </c>
      <c r="E163">
        <v>6.8493149999999999E-3</v>
      </c>
      <c r="F163">
        <v>1.4509908E-2</v>
      </c>
      <c r="G163">
        <v>1.4509908E-2</v>
      </c>
      <c r="H163">
        <v>1.5816791E-2</v>
      </c>
      <c r="I163">
        <v>1.0634357000000001E-2</v>
      </c>
      <c r="J163">
        <v>1</v>
      </c>
      <c r="K163">
        <v>0</v>
      </c>
      <c r="L163">
        <v>0</v>
      </c>
      <c r="M163">
        <v>5</v>
      </c>
      <c r="N163">
        <v>0.44808796899999997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W163">
        <v>0</v>
      </c>
      <c r="X163">
        <v>0</v>
      </c>
      <c r="Y163">
        <v>0</v>
      </c>
      <c r="Z163">
        <v>1.5816791E-2</v>
      </c>
      <c r="AA163">
        <v>0</v>
      </c>
      <c r="AB163" t="s">
        <v>33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f t="shared" si="2"/>
        <v>0</v>
      </c>
    </row>
    <row r="164" spans="1:34" x14ac:dyDescent="0.25">
      <c r="A164" s="1">
        <v>43714</v>
      </c>
      <c r="B164">
        <v>263.5</v>
      </c>
      <c r="C164">
        <v>1.9011410000000001E-3</v>
      </c>
      <c r="D164">
        <v>374.5</v>
      </c>
      <c r="E164">
        <v>1.9047618999999998E-2</v>
      </c>
      <c r="F164">
        <v>-1.7146478E-2</v>
      </c>
      <c r="G164">
        <v>1.7146478E-2</v>
      </c>
      <c r="H164">
        <v>1.4191974E-2</v>
      </c>
      <c r="I164">
        <v>1.3392918E-2</v>
      </c>
      <c r="J164">
        <v>0</v>
      </c>
      <c r="K164">
        <v>1</v>
      </c>
      <c r="L164">
        <v>1</v>
      </c>
      <c r="M164">
        <v>5</v>
      </c>
      <c r="N164">
        <v>14.239595189999999</v>
      </c>
      <c r="O164">
        <v>72</v>
      </c>
      <c r="P164">
        <v>-5</v>
      </c>
      <c r="Q164">
        <v>77</v>
      </c>
      <c r="R164">
        <v>-18972</v>
      </c>
      <c r="S164">
        <v>1872.5</v>
      </c>
      <c r="T164">
        <v>0</v>
      </c>
      <c r="U164">
        <v>0</v>
      </c>
      <c r="V164" t="s">
        <v>34</v>
      </c>
      <c r="W164">
        <v>-18972</v>
      </c>
      <c r="X164">
        <v>1872.5</v>
      </c>
      <c r="Y164">
        <v>0</v>
      </c>
      <c r="Z164">
        <v>1.4191974E-2</v>
      </c>
      <c r="AA164">
        <v>20844.5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20844.5</v>
      </c>
      <c r="AH164">
        <f t="shared" si="2"/>
        <v>0</v>
      </c>
    </row>
    <row r="165" spans="1:34" x14ac:dyDescent="0.25">
      <c r="A165" s="1">
        <v>43718</v>
      </c>
      <c r="B165">
        <v>261.5</v>
      </c>
      <c r="C165">
        <v>-7.5901329999999998E-3</v>
      </c>
      <c r="D165">
        <v>378</v>
      </c>
      <c r="E165">
        <v>9.3457939999999993E-3</v>
      </c>
      <c r="F165">
        <v>-1.6935927E-2</v>
      </c>
      <c r="G165">
        <v>1.6935927E-2</v>
      </c>
      <c r="H165">
        <v>1.4506661000000001E-2</v>
      </c>
      <c r="I165">
        <v>1.3498095999999999E-2</v>
      </c>
      <c r="J165">
        <v>0</v>
      </c>
      <c r="K165">
        <v>1</v>
      </c>
      <c r="L165">
        <v>0</v>
      </c>
      <c r="M165">
        <v>5</v>
      </c>
      <c r="N165">
        <v>1.779864549</v>
      </c>
      <c r="O165">
        <v>-72</v>
      </c>
      <c r="P165">
        <v>5</v>
      </c>
      <c r="Q165">
        <v>77</v>
      </c>
      <c r="R165">
        <v>18828</v>
      </c>
      <c r="S165">
        <v>-1890</v>
      </c>
      <c r="T165">
        <v>-144</v>
      </c>
      <c r="U165">
        <v>-17.5</v>
      </c>
      <c r="V165" t="s">
        <v>37</v>
      </c>
      <c r="W165">
        <v>0</v>
      </c>
      <c r="X165">
        <v>0</v>
      </c>
      <c r="Y165">
        <v>0</v>
      </c>
      <c r="Z165">
        <v>1.4506661000000001E-2</v>
      </c>
      <c r="AA165">
        <v>20718</v>
      </c>
      <c r="AB165">
        <v>0</v>
      </c>
      <c r="AC165">
        <v>-161.5</v>
      </c>
      <c r="AD165">
        <v>-7.7951540000000003E-3</v>
      </c>
      <c r="AE165">
        <v>0</v>
      </c>
      <c r="AF165">
        <v>0</v>
      </c>
      <c r="AG165">
        <v>0</v>
      </c>
      <c r="AH165">
        <f t="shared" si="2"/>
        <v>0</v>
      </c>
    </row>
    <row r="166" spans="1:34" x14ac:dyDescent="0.25">
      <c r="A166" s="1">
        <v>43719</v>
      </c>
      <c r="B166">
        <v>263</v>
      </c>
      <c r="C166">
        <v>5.736138E-3</v>
      </c>
      <c r="D166">
        <v>374.5</v>
      </c>
      <c r="E166">
        <v>-9.2592590000000006E-3</v>
      </c>
      <c r="F166">
        <v>1.4995397000000001E-2</v>
      </c>
      <c r="G166">
        <v>1.4995397000000001E-2</v>
      </c>
      <c r="H166">
        <v>1.109741E-2</v>
      </c>
      <c r="I166">
        <v>1.0310906999999999E-2</v>
      </c>
      <c r="J166">
        <v>1</v>
      </c>
      <c r="K166">
        <v>0</v>
      </c>
      <c r="L166">
        <v>-1</v>
      </c>
      <c r="M166">
        <v>5</v>
      </c>
      <c r="N166">
        <v>2.2985436319999999</v>
      </c>
      <c r="O166">
        <v>-72</v>
      </c>
      <c r="P166">
        <v>5</v>
      </c>
      <c r="Q166">
        <v>77</v>
      </c>
      <c r="R166">
        <v>18936</v>
      </c>
      <c r="S166">
        <v>-1872.5</v>
      </c>
      <c r="T166">
        <v>-36</v>
      </c>
      <c r="U166">
        <v>0</v>
      </c>
      <c r="V166" t="s">
        <v>35</v>
      </c>
      <c r="W166">
        <v>18936</v>
      </c>
      <c r="X166">
        <v>-1872.5</v>
      </c>
      <c r="Y166">
        <v>-36</v>
      </c>
      <c r="Z166">
        <v>1.109741E-2</v>
      </c>
      <c r="AA166">
        <v>20808.5</v>
      </c>
      <c r="AB166">
        <v>0</v>
      </c>
      <c r="AC166">
        <v>-36</v>
      </c>
      <c r="AD166">
        <v>-1.7300620000000001E-3</v>
      </c>
      <c r="AE166">
        <v>0</v>
      </c>
      <c r="AF166">
        <v>-36</v>
      </c>
      <c r="AG166">
        <v>0</v>
      </c>
      <c r="AH166">
        <f t="shared" si="2"/>
        <v>-1.7300622341831463E-3</v>
      </c>
    </row>
    <row r="167" spans="1:34" x14ac:dyDescent="0.25">
      <c r="A167" s="1">
        <v>43720</v>
      </c>
      <c r="B167">
        <v>262.5</v>
      </c>
      <c r="C167">
        <v>-1.9011410000000001E-3</v>
      </c>
      <c r="D167">
        <v>375</v>
      </c>
      <c r="E167">
        <v>1.335113E-3</v>
      </c>
      <c r="F167">
        <v>-3.236254E-3</v>
      </c>
      <c r="G167">
        <v>3.236254E-3</v>
      </c>
      <c r="H167">
        <v>1.0930093E-2</v>
      </c>
      <c r="I167">
        <v>1.0432212E-2</v>
      </c>
      <c r="J167">
        <v>0</v>
      </c>
      <c r="K167">
        <v>0</v>
      </c>
      <c r="L167">
        <v>0</v>
      </c>
      <c r="M167">
        <v>5</v>
      </c>
      <c r="N167">
        <v>1.0032424179999999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W167">
        <v>0</v>
      </c>
      <c r="X167">
        <v>0</v>
      </c>
      <c r="Y167">
        <v>0</v>
      </c>
      <c r="Z167">
        <v>1.0930093E-2</v>
      </c>
      <c r="AA167">
        <v>0</v>
      </c>
      <c r="AB167" t="s">
        <v>33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f t="shared" si="2"/>
        <v>0</v>
      </c>
    </row>
    <row r="168" spans="1:34" x14ac:dyDescent="0.25">
      <c r="A168" s="1">
        <v>43724</v>
      </c>
      <c r="B168">
        <v>265.5</v>
      </c>
      <c r="C168">
        <v>1.1428571E-2</v>
      </c>
      <c r="D168">
        <v>382</v>
      </c>
      <c r="E168">
        <v>1.8666667000000001E-2</v>
      </c>
      <c r="F168">
        <v>-7.2380949999999999E-3</v>
      </c>
      <c r="G168">
        <v>7.2380949999999999E-3</v>
      </c>
      <c r="H168">
        <v>7.2460299999999997E-3</v>
      </c>
      <c r="I168">
        <v>1.2039438E-2</v>
      </c>
      <c r="J168">
        <v>0</v>
      </c>
      <c r="K168">
        <v>0</v>
      </c>
      <c r="L168">
        <v>0</v>
      </c>
      <c r="M168">
        <v>5</v>
      </c>
      <c r="N168">
        <v>2.350031387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W168">
        <v>0</v>
      </c>
      <c r="X168">
        <v>0</v>
      </c>
      <c r="Y168">
        <v>0</v>
      </c>
      <c r="Z168">
        <v>1.2039438E-2</v>
      </c>
      <c r="AA168">
        <v>0</v>
      </c>
      <c r="AB168" t="s">
        <v>33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f t="shared" si="2"/>
        <v>0</v>
      </c>
    </row>
    <row r="169" spans="1:34" x14ac:dyDescent="0.25">
      <c r="A169" s="1">
        <v>43725</v>
      </c>
      <c r="B169">
        <v>265</v>
      </c>
      <c r="C169">
        <v>-1.8832390000000001E-3</v>
      </c>
      <c r="D169">
        <v>383</v>
      </c>
      <c r="E169">
        <v>2.6178009999999999E-3</v>
      </c>
      <c r="F169">
        <v>-4.5010400000000004E-3</v>
      </c>
      <c r="G169">
        <v>4.5010400000000004E-3</v>
      </c>
      <c r="H169">
        <v>7.4428029999999996E-3</v>
      </c>
      <c r="I169">
        <v>1.0332522E-2</v>
      </c>
      <c r="J169">
        <v>0</v>
      </c>
      <c r="K169">
        <v>0</v>
      </c>
      <c r="L169">
        <v>0</v>
      </c>
      <c r="M169">
        <v>5</v>
      </c>
      <c r="N169">
        <v>2.0090190649999999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W169">
        <v>0</v>
      </c>
      <c r="X169">
        <v>0</v>
      </c>
      <c r="Y169">
        <v>0</v>
      </c>
      <c r="Z169">
        <v>1.0332522E-2</v>
      </c>
      <c r="AA169">
        <v>0</v>
      </c>
      <c r="AB169" t="s">
        <v>33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f t="shared" si="2"/>
        <v>0</v>
      </c>
    </row>
    <row r="170" spans="1:34" x14ac:dyDescent="0.25">
      <c r="A170" s="1">
        <v>43726</v>
      </c>
      <c r="B170">
        <v>267</v>
      </c>
      <c r="C170">
        <v>7.5471699999999997E-3</v>
      </c>
      <c r="D170">
        <v>382</v>
      </c>
      <c r="E170">
        <v>-2.6109660000000002E-3</v>
      </c>
      <c r="F170">
        <v>1.0158136E-2</v>
      </c>
      <c r="G170">
        <v>1.0158136E-2</v>
      </c>
      <c r="H170">
        <v>5.9170129999999996E-3</v>
      </c>
      <c r="I170">
        <v>1.0326194E-2</v>
      </c>
      <c r="J170">
        <v>1</v>
      </c>
      <c r="K170">
        <v>0</v>
      </c>
      <c r="L170">
        <v>0</v>
      </c>
      <c r="M170">
        <v>5</v>
      </c>
      <c r="N170">
        <v>0.49495897799999999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W170">
        <v>0</v>
      </c>
      <c r="X170">
        <v>0</v>
      </c>
      <c r="Y170">
        <v>0</v>
      </c>
      <c r="Z170">
        <v>1.0326194E-2</v>
      </c>
      <c r="AA170">
        <v>0</v>
      </c>
      <c r="AB170" t="s">
        <v>33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f t="shared" si="2"/>
        <v>0</v>
      </c>
    </row>
    <row r="171" spans="1:34" x14ac:dyDescent="0.25">
      <c r="A171" s="1">
        <v>43727</v>
      </c>
      <c r="B171">
        <v>265</v>
      </c>
      <c r="C171">
        <v>-7.4906369999999996E-3</v>
      </c>
      <c r="D171">
        <v>380.5</v>
      </c>
      <c r="E171">
        <v>-3.9267019999999998E-3</v>
      </c>
      <c r="F171">
        <v>-3.5639349999999998E-3</v>
      </c>
      <c r="G171">
        <v>3.5639349999999998E-3</v>
      </c>
      <c r="H171">
        <v>7.7295269999999999E-3</v>
      </c>
      <c r="I171">
        <v>9.0497289999999994E-3</v>
      </c>
      <c r="J171">
        <v>0</v>
      </c>
      <c r="K171">
        <v>0</v>
      </c>
      <c r="L171">
        <v>0</v>
      </c>
      <c r="M171">
        <v>5</v>
      </c>
      <c r="N171">
        <v>0.75269312499999996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W171">
        <v>0</v>
      </c>
      <c r="X171">
        <v>0</v>
      </c>
      <c r="Y171">
        <v>0</v>
      </c>
      <c r="Z171">
        <v>9.0497289999999994E-3</v>
      </c>
      <c r="AA171">
        <v>0</v>
      </c>
      <c r="AB171" t="s">
        <v>33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f t="shared" si="2"/>
        <v>0</v>
      </c>
    </row>
    <row r="172" spans="1:34" x14ac:dyDescent="0.25">
      <c r="A172" s="1">
        <v>43728</v>
      </c>
      <c r="B172">
        <v>264</v>
      </c>
      <c r="C172">
        <v>-3.7735849999999999E-3</v>
      </c>
      <c r="D172">
        <v>386.5</v>
      </c>
      <c r="E172">
        <v>1.5768725000000001E-2</v>
      </c>
      <c r="F172">
        <v>-1.954231E-2</v>
      </c>
      <c r="G172">
        <v>1.954231E-2</v>
      </c>
      <c r="H172">
        <v>7.9792609999999996E-3</v>
      </c>
      <c r="I172">
        <v>1.0487453000000001E-2</v>
      </c>
      <c r="J172">
        <v>0</v>
      </c>
      <c r="K172">
        <v>1</v>
      </c>
      <c r="L172">
        <v>1</v>
      </c>
      <c r="M172">
        <v>5</v>
      </c>
      <c r="N172">
        <v>6.1176980050000003</v>
      </c>
      <c r="O172">
        <v>31</v>
      </c>
      <c r="P172">
        <v>-5</v>
      </c>
      <c r="Q172">
        <v>36</v>
      </c>
      <c r="R172">
        <v>-8184</v>
      </c>
      <c r="S172">
        <v>1932.5</v>
      </c>
      <c r="T172">
        <v>0</v>
      </c>
      <c r="U172">
        <v>0</v>
      </c>
      <c r="V172" t="s">
        <v>34</v>
      </c>
      <c r="W172">
        <v>-8184</v>
      </c>
      <c r="X172">
        <v>1932.5</v>
      </c>
      <c r="Y172">
        <v>0</v>
      </c>
      <c r="Z172">
        <v>1.0487453000000001E-2</v>
      </c>
      <c r="AA172">
        <v>10116.5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10116.5</v>
      </c>
      <c r="AH172">
        <f t="shared" si="2"/>
        <v>0</v>
      </c>
    </row>
    <row r="173" spans="1:34" x14ac:dyDescent="0.25">
      <c r="A173" s="1">
        <v>43731</v>
      </c>
      <c r="B173">
        <v>264</v>
      </c>
      <c r="C173">
        <v>0</v>
      </c>
      <c r="D173">
        <v>388</v>
      </c>
      <c r="E173">
        <v>3.8809830000000002E-3</v>
      </c>
      <c r="F173">
        <v>-3.8809830000000002E-3</v>
      </c>
      <c r="G173">
        <v>3.8809830000000002E-3</v>
      </c>
      <c r="H173">
        <v>5.5808439999999997E-3</v>
      </c>
      <c r="I173">
        <v>7.7993289999999998E-3</v>
      </c>
      <c r="J173">
        <v>0</v>
      </c>
      <c r="K173">
        <v>1</v>
      </c>
      <c r="L173">
        <v>0</v>
      </c>
      <c r="M173">
        <v>5</v>
      </c>
      <c r="N173" t="s">
        <v>36</v>
      </c>
      <c r="O173">
        <v>-31</v>
      </c>
      <c r="P173">
        <v>5</v>
      </c>
      <c r="Q173">
        <v>36</v>
      </c>
      <c r="R173">
        <v>8184</v>
      </c>
      <c r="S173">
        <v>-1940</v>
      </c>
      <c r="T173">
        <v>0</v>
      </c>
      <c r="U173">
        <v>-7.5</v>
      </c>
      <c r="V173" t="s">
        <v>37</v>
      </c>
      <c r="W173">
        <v>0</v>
      </c>
      <c r="X173">
        <v>0</v>
      </c>
      <c r="Y173">
        <v>0</v>
      </c>
      <c r="Z173">
        <v>7.7993289999999998E-3</v>
      </c>
      <c r="AA173">
        <v>10124</v>
      </c>
      <c r="AB173">
        <v>0</v>
      </c>
      <c r="AC173">
        <v>-7.5</v>
      </c>
      <c r="AD173">
        <v>-7.4081400000000001E-4</v>
      </c>
      <c r="AE173">
        <v>0</v>
      </c>
      <c r="AF173">
        <v>0</v>
      </c>
      <c r="AG173">
        <v>0</v>
      </c>
      <c r="AH173">
        <f t="shared" si="2"/>
        <v>0</v>
      </c>
    </row>
    <row r="174" spans="1:34" x14ac:dyDescent="0.25">
      <c r="A174" s="1">
        <v>43732</v>
      </c>
      <c r="B174">
        <v>265</v>
      </c>
      <c r="C174">
        <v>3.7878790000000001E-3</v>
      </c>
      <c r="D174">
        <v>387</v>
      </c>
      <c r="E174">
        <v>-2.5773200000000001E-3</v>
      </c>
      <c r="F174">
        <v>6.3651979999999999E-3</v>
      </c>
      <c r="G174">
        <v>6.3651979999999999E-3</v>
      </c>
      <c r="H174">
        <v>5.9509740000000004E-3</v>
      </c>
      <c r="I174">
        <v>8.2218819999999998E-3</v>
      </c>
      <c r="J174">
        <v>1</v>
      </c>
      <c r="K174">
        <v>0</v>
      </c>
      <c r="L174">
        <v>-1</v>
      </c>
      <c r="M174">
        <v>5</v>
      </c>
      <c r="N174">
        <v>0.99365882100000003</v>
      </c>
      <c r="O174">
        <v>-31</v>
      </c>
      <c r="P174">
        <v>5</v>
      </c>
      <c r="Q174">
        <v>36</v>
      </c>
      <c r="R174">
        <v>8215</v>
      </c>
      <c r="S174">
        <v>-1935</v>
      </c>
      <c r="T174">
        <v>31</v>
      </c>
      <c r="U174">
        <v>-2.5</v>
      </c>
      <c r="V174" t="s">
        <v>35</v>
      </c>
      <c r="W174">
        <v>8215</v>
      </c>
      <c r="X174">
        <v>-1935</v>
      </c>
      <c r="Y174">
        <v>28.5</v>
      </c>
      <c r="Z174">
        <v>8.2218819999999998E-3</v>
      </c>
      <c r="AA174">
        <v>10150</v>
      </c>
      <c r="AB174">
        <v>0</v>
      </c>
      <c r="AC174">
        <v>28.5</v>
      </c>
      <c r="AD174">
        <v>2.8078819999999998E-3</v>
      </c>
      <c r="AE174">
        <v>0</v>
      </c>
      <c r="AF174">
        <v>28.5</v>
      </c>
      <c r="AG174">
        <v>0</v>
      </c>
      <c r="AH174">
        <f t="shared" si="2"/>
        <v>2.8078817733990149E-3</v>
      </c>
    </row>
    <row r="175" spans="1:34" x14ac:dyDescent="0.25">
      <c r="A175" s="1">
        <v>43733</v>
      </c>
      <c r="B175">
        <v>266</v>
      </c>
      <c r="C175">
        <v>3.7735849999999999E-3</v>
      </c>
      <c r="D175">
        <v>380</v>
      </c>
      <c r="E175">
        <v>-1.8087855E-2</v>
      </c>
      <c r="F175">
        <v>2.1861439999999999E-2</v>
      </c>
      <c r="G175">
        <v>2.1861439999999999E-2</v>
      </c>
      <c r="H175">
        <v>4.9039640000000002E-3</v>
      </c>
      <c r="I175">
        <v>1.2329455E-2</v>
      </c>
      <c r="J175">
        <v>1</v>
      </c>
      <c r="K175">
        <v>1</v>
      </c>
      <c r="L175">
        <v>1</v>
      </c>
      <c r="M175">
        <v>5</v>
      </c>
      <c r="N175">
        <v>6.8475452199999998</v>
      </c>
      <c r="O175">
        <v>-35</v>
      </c>
      <c r="P175">
        <v>5</v>
      </c>
      <c r="Q175">
        <v>40</v>
      </c>
      <c r="R175">
        <v>9310</v>
      </c>
      <c r="S175">
        <v>-1900</v>
      </c>
      <c r="T175">
        <v>0</v>
      </c>
      <c r="U175">
        <v>0</v>
      </c>
      <c r="V175" t="s">
        <v>34</v>
      </c>
      <c r="W175">
        <v>9310</v>
      </c>
      <c r="X175">
        <v>-1900</v>
      </c>
      <c r="Y175">
        <v>0</v>
      </c>
      <c r="Z175">
        <v>1.2329455E-2</v>
      </c>
      <c r="AA175">
        <v>11210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11210</v>
      </c>
      <c r="AH175">
        <f t="shared" si="2"/>
        <v>0</v>
      </c>
    </row>
    <row r="176" spans="1:34" x14ac:dyDescent="0.25">
      <c r="A176" s="1">
        <v>43734</v>
      </c>
      <c r="B176">
        <v>268</v>
      </c>
      <c r="C176">
        <v>7.5187969999999998E-3</v>
      </c>
      <c r="D176">
        <v>376</v>
      </c>
      <c r="E176">
        <v>-1.0526316000000001E-2</v>
      </c>
      <c r="F176">
        <v>1.8045113000000002E-2</v>
      </c>
      <c r="G176">
        <v>1.8045113000000002E-2</v>
      </c>
      <c r="H176">
        <v>4.2951150000000004E-3</v>
      </c>
      <c r="I176">
        <v>1.3054583E-2</v>
      </c>
      <c r="J176">
        <v>1</v>
      </c>
      <c r="K176">
        <v>1</v>
      </c>
      <c r="L176">
        <v>0</v>
      </c>
      <c r="M176">
        <v>5</v>
      </c>
      <c r="N176">
        <v>1.9641791040000001</v>
      </c>
      <c r="O176">
        <v>35</v>
      </c>
      <c r="P176">
        <v>-5</v>
      </c>
      <c r="Q176">
        <v>40</v>
      </c>
      <c r="R176">
        <v>-9380</v>
      </c>
      <c r="S176">
        <v>1880</v>
      </c>
      <c r="T176">
        <v>-70</v>
      </c>
      <c r="U176">
        <v>-20</v>
      </c>
      <c r="V176" t="s">
        <v>37</v>
      </c>
      <c r="W176">
        <v>0</v>
      </c>
      <c r="X176">
        <v>0</v>
      </c>
      <c r="Y176">
        <v>0</v>
      </c>
      <c r="Z176">
        <v>1.3054583E-2</v>
      </c>
      <c r="AA176">
        <v>11260</v>
      </c>
      <c r="AB176">
        <v>0</v>
      </c>
      <c r="AC176">
        <v>-90</v>
      </c>
      <c r="AD176">
        <v>-7.9928949999999999E-3</v>
      </c>
      <c r="AE176">
        <v>0</v>
      </c>
      <c r="AF176">
        <v>0</v>
      </c>
      <c r="AG176">
        <v>0</v>
      </c>
      <c r="AH176">
        <f t="shared" si="2"/>
        <v>0</v>
      </c>
    </row>
    <row r="177" spans="1:34" x14ac:dyDescent="0.25">
      <c r="A177" s="1">
        <v>43735</v>
      </c>
      <c r="B177">
        <v>272</v>
      </c>
      <c r="C177">
        <v>1.4925373E-2</v>
      </c>
      <c r="D177">
        <v>369</v>
      </c>
      <c r="E177">
        <v>-1.8617021000000001E-2</v>
      </c>
      <c r="F177">
        <v>3.3542394000000003E-2</v>
      </c>
      <c r="G177">
        <v>3.3542394000000003E-2</v>
      </c>
      <c r="H177">
        <v>5.6528630000000002E-3</v>
      </c>
      <c r="I177">
        <v>9.8031160000000006E-3</v>
      </c>
      <c r="J177">
        <v>1</v>
      </c>
      <c r="K177">
        <v>1</v>
      </c>
      <c r="L177">
        <v>0</v>
      </c>
      <c r="M177">
        <v>5</v>
      </c>
      <c r="N177">
        <v>1.6921640330000001</v>
      </c>
      <c r="O177">
        <v>35</v>
      </c>
      <c r="P177">
        <v>-5</v>
      </c>
      <c r="Q177">
        <v>40</v>
      </c>
      <c r="R177">
        <v>-9520</v>
      </c>
      <c r="S177">
        <v>1845</v>
      </c>
      <c r="T177">
        <v>-210</v>
      </c>
      <c r="U177">
        <v>-55</v>
      </c>
      <c r="V177" t="s">
        <v>37</v>
      </c>
      <c r="W177">
        <v>0</v>
      </c>
      <c r="X177">
        <v>0</v>
      </c>
      <c r="Y177">
        <v>0</v>
      </c>
      <c r="Z177">
        <v>9.8031160000000006E-3</v>
      </c>
      <c r="AA177">
        <v>11365</v>
      </c>
      <c r="AB177">
        <v>0</v>
      </c>
      <c r="AC177">
        <v>-265</v>
      </c>
      <c r="AD177">
        <v>-2.3317201999999999E-2</v>
      </c>
      <c r="AE177">
        <v>1</v>
      </c>
      <c r="AF177">
        <v>-265</v>
      </c>
      <c r="AG177">
        <v>0</v>
      </c>
      <c r="AH177">
        <f t="shared" si="2"/>
        <v>-2.3317201935767709E-2</v>
      </c>
    </row>
    <row r="178" spans="1:34" x14ac:dyDescent="0.25">
      <c r="A178" s="1">
        <v>43739</v>
      </c>
      <c r="B178">
        <v>280</v>
      </c>
      <c r="C178">
        <v>2.9411764999999999E-2</v>
      </c>
      <c r="D178">
        <v>376.5</v>
      </c>
      <c r="E178">
        <v>2.0325203E-2</v>
      </c>
      <c r="F178">
        <v>9.0865609999999999E-3</v>
      </c>
      <c r="G178">
        <v>9.0865609999999999E-3</v>
      </c>
      <c r="H178">
        <v>1.0803396E-2</v>
      </c>
      <c r="I178">
        <v>1.6050472999999999E-2</v>
      </c>
      <c r="J178">
        <v>1</v>
      </c>
      <c r="K178">
        <v>1</v>
      </c>
      <c r="L178">
        <v>0</v>
      </c>
      <c r="M178">
        <v>5</v>
      </c>
      <c r="N178">
        <v>0.92922473900000002</v>
      </c>
      <c r="O178">
        <v>35</v>
      </c>
      <c r="P178">
        <v>-5</v>
      </c>
      <c r="Q178">
        <v>40</v>
      </c>
      <c r="R178">
        <v>-9800</v>
      </c>
      <c r="S178">
        <v>1882.5</v>
      </c>
      <c r="T178">
        <v>-490</v>
      </c>
      <c r="U178">
        <v>-17.5</v>
      </c>
      <c r="V178" t="s">
        <v>37</v>
      </c>
      <c r="W178">
        <v>0</v>
      </c>
      <c r="X178">
        <v>0</v>
      </c>
      <c r="Y178">
        <v>0</v>
      </c>
      <c r="Z178">
        <v>1.6050472999999999E-2</v>
      </c>
      <c r="AA178">
        <v>11682.5</v>
      </c>
      <c r="AB178">
        <v>0</v>
      </c>
      <c r="AC178">
        <v>-507.5</v>
      </c>
      <c r="AD178">
        <v>-4.3441043999999998E-2</v>
      </c>
      <c r="AE178">
        <v>1</v>
      </c>
      <c r="AF178">
        <v>0</v>
      </c>
      <c r="AG178">
        <v>0</v>
      </c>
      <c r="AH178">
        <f t="shared" si="2"/>
        <v>0</v>
      </c>
    </row>
    <row r="179" spans="1:34" x14ac:dyDescent="0.25">
      <c r="A179" s="1">
        <v>43740</v>
      </c>
      <c r="B179">
        <v>279.5</v>
      </c>
      <c r="C179">
        <v>-1.7857140000000001E-3</v>
      </c>
      <c r="D179">
        <v>372</v>
      </c>
      <c r="E179">
        <v>-1.1952190999999999E-2</v>
      </c>
      <c r="F179">
        <v>1.0166477E-2</v>
      </c>
      <c r="G179">
        <v>1.0166477E-2</v>
      </c>
      <c r="H179">
        <v>1.2061806E-2</v>
      </c>
      <c r="I179">
        <v>1.6113228E-2</v>
      </c>
      <c r="J179">
        <v>1</v>
      </c>
      <c r="K179">
        <v>1</v>
      </c>
      <c r="L179">
        <v>0</v>
      </c>
      <c r="M179">
        <v>5</v>
      </c>
      <c r="N179">
        <v>8.9083380250000008</v>
      </c>
      <c r="O179">
        <v>35</v>
      </c>
      <c r="P179">
        <v>-5</v>
      </c>
      <c r="Q179">
        <v>40</v>
      </c>
      <c r="R179">
        <v>-9782.5</v>
      </c>
      <c r="S179">
        <v>1860</v>
      </c>
      <c r="T179">
        <v>-472.5</v>
      </c>
      <c r="U179">
        <v>-40</v>
      </c>
      <c r="V179" t="s">
        <v>37</v>
      </c>
      <c r="W179">
        <v>0</v>
      </c>
      <c r="X179">
        <v>0</v>
      </c>
      <c r="Y179">
        <v>0</v>
      </c>
      <c r="Z179">
        <v>1.6113228E-2</v>
      </c>
      <c r="AA179">
        <v>11642.5</v>
      </c>
      <c r="AB179">
        <v>0</v>
      </c>
      <c r="AC179">
        <v>-512.5</v>
      </c>
      <c r="AD179">
        <v>-4.4019755000000001E-2</v>
      </c>
      <c r="AE179">
        <v>1</v>
      </c>
      <c r="AF179">
        <v>0</v>
      </c>
      <c r="AG179">
        <v>0</v>
      </c>
      <c r="AH179">
        <f t="shared" si="2"/>
        <v>0</v>
      </c>
    </row>
    <row r="180" spans="1:34" x14ac:dyDescent="0.25">
      <c r="A180" s="1">
        <v>43741</v>
      </c>
      <c r="B180">
        <v>276.5</v>
      </c>
      <c r="C180">
        <v>-1.0733453E-2</v>
      </c>
      <c r="D180">
        <v>379.5</v>
      </c>
      <c r="E180">
        <v>2.0161289999999998E-2</v>
      </c>
      <c r="F180">
        <v>-3.0894742999999999E-2</v>
      </c>
      <c r="G180">
        <v>3.0894742999999999E-2</v>
      </c>
      <c r="H180">
        <v>1.5437539E-2</v>
      </c>
      <c r="I180">
        <v>1.8839911000000001E-2</v>
      </c>
      <c r="J180">
        <v>0</v>
      </c>
      <c r="K180">
        <v>0</v>
      </c>
      <c r="L180">
        <v>-1</v>
      </c>
      <c r="M180">
        <v>5</v>
      </c>
      <c r="N180">
        <v>2.57807487</v>
      </c>
      <c r="O180">
        <v>35</v>
      </c>
      <c r="P180">
        <v>-5</v>
      </c>
      <c r="Q180">
        <v>40</v>
      </c>
      <c r="R180">
        <v>-9677.5</v>
      </c>
      <c r="S180">
        <v>1897.5</v>
      </c>
      <c r="T180">
        <v>-367.5</v>
      </c>
      <c r="U180">
        <v>-2.5</v>
      </c>
      <c r="V180" t="s">
        <v>35</v>
      </c>
      <c r="W180">
        <v>-9677.5</v>
      </c>
      <c r="X180">
        <v>1897.5</v>
      </c>
      <c r="Y180">
        <v>-370</v>
      </c>
      <c r="Z180">
        <v>1.8839911000000001E-2</v>
      </c>
      <c r="AA180">
        <v>11575</v>
      </c>
      <c r="AB180">
        <v>0</v>
      </c>
      <c r="AC180">
        <v>-370</v>
      </c>
      <c r="AD180">
        <v>-3.1965443000000003E-2</v>
      </c>
      <c r="AE180">
        <v>1</v>
      </c>
      <c r="AF180">
        <v>0</v>
      </c>
      <c r="AG180">
        <v>0</v>
      </c>
      <c r="AH180">
        <f t="shared" si="2"/>
        <v>0</v>
      </c>
    </row>
    <row r="181" spans="1:34" x14ac:dyDescent="0.25">
      <c r="A181" s="1">
        <v>43742</v>
      </c>
      <c r="B181">
        <v>276.5</v>
      </c>
      <c r="C181">
        <v>0</v>
      </c>
      <c r="D181">
        <v>385.5</v>
      </c>
      <c r="E181">
        <v>1.5810277000000001E-2</v>
      </c>
      <c r="F181">
        <v>-1.5810277000000001E-2</v>
      </c>
      <c r="G181">
        <v>1.5810277000000001E-2</v>
      </c>
      <c r="H181">
        <v>1.5840910999999999E-2</v>
      </c>
      <c r="I181">
        <v>1.8885333000000001E-2</v>
      </c>
      <c r="J181">
        <v>0</v>
      </c>
      <c r="K181">
        <v>0</v>
      </c>
      <c r="L181">
        <v>0</v>
      </c>
      <c r="M181">
        <v>5</v>
      </c>
      <c r="N181" t="s">
        <v>36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W181">
        <v>0</v>
      </c>
      <c r="X181">
        <v>0</v>
      </c>
      <c r="Y181">
        <v>0</v>
      </c>
      <c r="Z181">
        <v>1.8885333000000001E-2</v>
      </c>
      <c r="AA181">
        <v>0</v>
      </c>
      <c r="AB181" t="s">
        <v>33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f t="shared" si="2"/>
        <v>0</v>
      </c>
    </row>
    <row r="182" spans="1:34" x14ac:dyDescent="0.25">
      <c r="A182" s="1">
        <v>43745</v>
      </c>
      <c r="B182">
        <v>278</v>
      </c>
      <c r="C182">
        <v>5.4249550000000004E-3</v>
      </c>
      <c r="D182">
        <v>384</v>
      </c>
      <c r="E182">
        <v>-3.891051E-3</v>
      </c>
      <c r="F182">
        <v>9.3160050000000005E-3</v>
      </c>
      <c r="G182">
        <v>9.3160050000000005E-3</v>
      </c>
      <c r="H182">
        <v>1.5110122E-2</v>
      </c>
      <c r="I182">
        <v>1.5002115999999999E-2</v>
      </c>
      <c r="J182">
        <v>1</v>
      </c>
      <c r="K182">
        <v>0</v>
      </c>
      <c r="L182">
        <v>0</v>
      </c>
      <c r="M182">
        <v>5</v>
      </c>
      <c r="N182">
        <v>0.99073426099999995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W182">
        <v>0</v>
      </c>
      <c r="X182">
        <v>0</v>
      </c>
      <c r="Y182">
        <v>0</v>
      </c>
      <c r="Z182">
        <v>1.5110122E-2</v>
      </c>
      <c r="AA182">
        <v>0</v>
      </c>
      <c r="AB182" t="s">
        <v>33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f t="shared" si="2"/>
        <v>0</v>
      </c>
    </row>
    <row r="183" spans="1:34" x14ac:dyDescent="0.25">
      <c r="A183" s="1">
        <v>43746</v>
      </c>
      <c r="B183">
        <v>286.5</v>
      </c>
      <c r="C183">
        <v>3.0575539999999998E-2</v>
      </c>
      <c r="D183">
        <v>384.5</v>
      </c>
      <c r="E183">
        <v>1.3020830000000001E-3</v>
      </c>
      <c r="F183">
        <v>2.9273456E-2</v>
      </c>
      <c r="G183">
        <v>2.9273456E-2</v>
      </c>
      <c r="H183">
        <v>1.5591785E-2</v>
      </c>
      <c r="I183">
        <v>1.3456231000000001E-2</v>
      </c>
      <c r="J183">
        <v>1</v>
      </c>
      <c r="K183">
        <v>1</v>
      </c>
      <c r="L183">
        <v>1</v>
      </c>
      <c r="M183">
        <v>5</v>
      </c>
      <c r="N183">
        <v>5.7152649E-2</v>
      </c>
      <c r="O183">
        <v>-1</v>
      </c>
      <c r="P183">
        <v>5</v>
      </c>
      <c r="Q183">
        <v>6</v>
      </c>
      <c r="R183">
        <v>286.5</v>
      </c>
      <c r="S183">
        <v>-1922.5</v>
      </c>
      <c r="T183">
        <v>0</v>
      </c>
      <c r="U183">
        <v>0</v>
      </c>
      <c r="V183" t="s">
        <v>34</v>
      </c>
      <c r="W183">
        <v>286.5</v>
      </c>
      <c r="X183">
        <v>-1922.5</v>
      </c>
      <c r="Y183">
        <v>0</v>
      </c>
      <c r="Z183">
        <v>1.5591785E-2</v>
      </c>
      <c r="AA183">
        <v>2209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2209</v>
      </c>
      <c r="AH183">
        <f t="shared" si="2"/>
        <v>0</v>
      </c>
    </row>
    <row r="184" spans="1:34" x14ac:dyDescent="0.25">
      <c r="A184" s="1">
        <v>43747</v>
      </c>
      <c r="B184">
        <v>282</v>
      </c>
      <c r="C184">
        <v>-1.5706806E-2</v>
      </c>
      <c r="D184">
        <v>372</v>
      </c>
      <c r="E184">
        <v>-3.2509753000000002E-2</v>
      </c>
      <c r="F184">
        <v>1.6802946999999999E-2</v>
      </c>
      <c r="G184">
        <v>1.6802946999999999E-2</v>
      </c>
      <c r="H184">
        <v>1.8082622E-2</v>
      </c>
      <c r="I184">
        <v>2.0796693000000002E-2</v>
      </c>
      <c r="J184">
        <v>1</v>
      </c>
      <c r="K184">
        <v>1</v>
      </c>
      <c r="L184">
        <v>0</v>
      </c>
      <c r="M184">
        <v>5</v>
      </c>
      <c r="N184">
        <v>2.730358115</v>
      </c>
      <c r="O184">
        <v>1</v>
      </c>
      <c r="P184">
        <v>-5</v>
      </c>
      <c r="Q184">
        <v>6</v>
      </c>
      <c r="R184">
        <v>-282</v>
      </c>
      <c r="S184">
        <v>1860</v>
      </c>
      <c r="T184">
        <v>4.5</v>
      </c>
      <c r="U184">
        <v>-62.5</v>
      </c>
      <c r="V184" t="s">
        <v>37</v>
      </c>
      <c r="W184">
        <v>0</v>
      </c>
      <c r="X184">
        <v>0</v>
      </c>
      <c r="Y184">
        <v>0</v>
      </c>
      <c r="Z184">
        <v>2.0796693000000002E-2</v>
      </c>
      <c r="AA184">
        <v>2142</v>
      </c>
      <c r="AB184">
        <v>0</v>
      </c>
      <c r="AC184">
        <v>-58</v>
      </c>
      <c r="AD184">
        <v>-2.7077497999999998E-2</v>
      </c>
      <c r="AE184">
        <v>1</v>
      </c>
      <c r="AF184">
        <v>-58</v>
      </c>
      <c r="AG184">
        <v>0</v>
      </c>
      <c r="AH184">
        <f t="shared" si="2"/>
        <v>-2.7077497665732961E-2</v>
      </c>
    </row>
    <row r="185" spans="1:34" x14ac:dyDescent="0.25">
      <c r="A185" s="1">
        <v>43752</v>
      </c>
      <c r="B185">
        <v>290</v>
      </c>
      <c r="C185">
        <v>2.8368793999999999E-2</v>
      </c>
      <c r="D185">
        <v>370.5</v>
      </c>
      <c r="E185">
        <v>-4.0322580000000004E-3</v>
      </c>
      <c r="F185">
        <v>3.2401052E-2</v>
      </c>
      <c r="G185">
        <v>3.2401052E-2</v>
      </c>
      <c r="H185">
        <v>1.9635290999999999E-2</v>
      </c>
      <c r="I185">
        <v>1.7544034999999999E-2</v>
      </c>
      <c r="J185">
        <v>1</v>
      </c>
      <c r="K185">
        <v>1</v>
      </c>
      <c r="L185">
        <v>0</v>
      </c>
      <c r="M185">
        <v>5</v>
      </c>
      <c r="N185">
        <v>0.18159239399999999</v>
      </c>
      <c r="O185">
        <v>1</v>
      </c>
      <c r="P185">
        <v>-5</v>
      </c>
      <c r="Q185">
        <v>6</v>
      </c>
      <c r="R185">
        <v>-290</v>
      </c>
      <c r="S185">
        <v>1852.5</v>
      </c>
      <c r="T185">
        <v>-3.5</v>
      </c>
      <c r="U185">
        <v>-70</v>
      </c>
      <c r="V185" t="s">
        <v>37</v>
      </c>
      <c r="W185">
        <v>0</v>
      </c>
      <c r="X185">
        <v>0</v>
      </c>
      <c r="Y185">
        <v>0</v>
      </c>
      <c r="Z185">
        <v>1.9635290999999999E-2</v>
      </c>
      <c r="AA185">
        <v>2142.5</v>
      </c>
      <c r="AB185">
        <v>0</v>
      </c>
      <c r="AC185">
        <v>-73.5</v>
      </c>
      <c r="AD185">
        <v>-3.4305717999999999E-2</v>
      </c>
      <c r="AE185">
        <v>1</v>
      </c>
      <c r="AF185">
        <v>0</v>
      </c>
      <c r="AG185">
        <v>0</v>
      </c>
      <c r="AH185">
        <f t="shared" si="2"/>
        <v>0</v>
      </c>
    </row>
    <row r="186" spans="1:34" x14ac:dyDescent="0.25">
      <c r="A186" s="1">
        <v>43753</v>
      </c>
      <c r="B186">
        <v>293.5</v>
      </c>
      <c r="C186">
        <v>1.2068966E-2</v>
      </c>
      <c r="D186">
        <v>367</v>
      </c>
      <c r="E186">
        <v>-9.4466940000000003E-3</v>
      </c>
      <c r="F186">
        <v>2.1515658999999999E-2</v>
      </c>
      <c r="G186">
        <v>2.1515658999999999E-2</v>
      </c>
      <c r="H186">
        <v>1.8866531999999998E-2</v>
      </c>
      <c r="I186">
        <v>1.3297188E-2</v>
      </c>
      <c r="J186">
        <v>1</v>
      </c>
      <c r="K186">
        <v>1</v>
      </c>
      <c r="L186">
        <v>0</v>
      </c>
      <c r="M186">
        <v>5</v>
      </c>
      <c r="N186">
        <v>0.97874091600000002</v>
      </c>
      <c r="O186">
        <v>1</v>
      </c>
      <c r="P186">
        <v>-5</v>
      </c>
      <c r="Q186">
        <v>6</v>
      </c>
      <c r="R186">
        <v>-293.5</v>
      </c>
      <c r="S186">
        <v>1835</v>
      </c>
      <c r="T186">
        <v>-7</v>
      </c>
      <c r="U186">
        <v>-87.5</v>
      </c>
      <c r="V186" t="s">
        <v>37</v>
      </c>
      <c r="W186">
        <v>0</v>
      </c>
      <c r="X186">
        <v>0</v>
      </c>
      <c r="Y186">
        <v>0</v>
      </c>
      <c r="Z186">
        <v>1.8866531999999998E-2</v>
      </c>
      <c r="AA186">
        <v>2128.5</v>
      </c>
      <c r="AB186">
        <v>0</v>
      </c>
      <c r="AC186">
        <v>-94.5</v>
      </c>
      <c r="AD186">
        <v>-4.4397462999999998E-2</v>
      </c>
      <c r="AE186">
        <v>1</v>
      </c>
      <c r="AF186">
        <v>0</v>
      </c>
      <c r="AG186">
        <v>0</v>
      </c>
      <c r="AH186">
        <f t="shared" si="2"/>
        <v>0</v>
      </c>
    </row>
    <row r="187" spans="1:34" x14ac:dyDescent="0.25">
      <c r="A187" s="1">
        <v>43754</v>
      </c>
      <c r="B187">
        <v>296.5</v>
      </c>
      <c r="C187">
        <v>1.0221465000000001E-2</v>
      </c>
      <c r="D187">
        <v>360</v>
      </c>
      <c r="E187">
        <v>-1.9073568999999999E-2</v>
      </c>
      <c r="F187">
        <v>2.9295035000000001E-2</v>
      </c>
      <c r="G187">
        <v>2.9295035000000001E-2</v>
      </c>
      <c r="H187">
        <v>1.8558768E-2</v>
      </c>
      <c r="I187">
        <v>1.336794E-2</v>
      </c>
      <c r="J187">
        <v>1</v>
      </c>
      <c r="K187">
        <v>1</v>
      </c>
      <c r="L187">
        <v>0</v>
      </c>
      <c r="M187">
        <v>5</v>
      </c>
      <c r="N187">
        <v>2.2656698720000001</v>
      </c>
      <c r="O187">
        <v>1</v>
      </c>
      <c r="P187">
        <v>-5</v>
      </c>
      <c r="Q187">
        <v>6</v>
      </c>
      <c r="R187">
        <v>-296.5</v>
      </c>
      <c r="S187">
        <v>1800</v>
      </c>
      <c r="T187">
        <v>-10</v>
      </c>
      <c r="U187">
        <v>-122.5</v>
      </c>
      <c r="V187" t="s">
        <v>37</v>
      </c>
      <c r="W187">
        <v>0</v>
      </c>
      <c r="X187">
        <v>0</v>
      </c>
      <c r="Y187">
        <v>0</v>
      </c>
      <c r="Z187">
        <v>1.8558768E-2</v>
      </c>
      <c r="AA187">
        <v>2096.5</v>
      </c>
      <c r="AB187">
        <v>0</v>
      </c>
      <c r="AC187">
        <v>-132.5</v>
      </c>
      <c r="AD187">
        <v>-6.3200571999999997E-2</v>
      </c>
      <c r="AE187">
        <v>1</v>
      </c>
      <c r="AF187">
        <v>0</v>
      </c>
      <c r="AG187">
        <v>0</v>
      </c>
      <c r="AH187">
        <f t="shared" si="2"/>
        <v>0</v>
      </c>
    </row>
    <row r="188" spans="1:34" x14ac:dyDescent="0.25">
      <c r="A188" s="1">
        <v>43755</v>
      </c>
      <c r="B188">
        <v>293.5</v>
      </c>
      <c r="C188">
        <v>-1.0118044E-2</v>
      </c>
      <c r="D188">
        <v>371</v>
      </c>
      <c r="E188">
        <v>3.0555556000000001E-2</v>
      </c>
      <c r="F188">
        <v>-4.0673598999999998E-2</v>
      </c>
      <c r="G188">
        <v>4.0673598999999998E-2</v>
      </c>
      <c r="H188">
        <v>1.7893128000000001E-2</v>
      </c>
      <c r="I188">
        <v>2.3567369000000001E-2</v>
      </c>
      <c r="J188">
        <v>0</v>
      </c>
      <c r="K188">
        <v>0</v>
      </c>
      <c r="L188">
        <v>-1</v>
      </c>
      <c r="M188">
        <v>5</v>
      </c>
      <c r="N188">
        <v>3.8173275919999998</v>
      </c>
      <c r="O188">
        <v>1</v>
      </c>
      <c r="P188">
        <v>-5</v>
      </c>
      <c r="Q188">
        <v>6</v>
      </c>
      <c r="R188">
        <v>-293.5</v>
      </c>
      <c r="S188">
        <v>1855</v>
      </c>
      <c r="T188">
        <v>-7</v>
      </c>
      <c r="U188">
        <v>-67.5</v>
      </c>
      <c r="V188" t="s">
        <v>35</v>
      </c>
      <c r="W188">
        <v>-293.5</v>
      </c>
      <c r="X188">
        <v>1855</v>
      </c>
      <c r="Y188">
        <v>-74.5</v>
      </c>
      <c r="Z188">
        <v>2.3567369000000001E-2</v>
      </c>
      <c r="AA188">
        <v>2148.5</v>
      </c>
      <c r="AB188">
        <v>0</v>
      </c>
      <c r="AC188">
        <v>-74.5</v>
      </c>
      <c r="AD188">
        <v>-3.4675354999999998E-2</v>
      </c>
      <c r="AE188">
        <v>1</v>
      </c>
      <c r="AF188">
        <v>0</v>
      </c>
      <c r="AG188">
        <v>0</v>
      </c>
      <c r="AH188">
        <f t="shared" si="2"/>
        <v>0</v>
      </c>
    </row>
    <row r="189" spans="1:34" x14ac:dyDescent="0.25">
      <c r="A189" s="1">
        <v>43756</v>
      </c>
      <c r="B189">
        <v>293</v>
      </c>
      <c r="C189">
        <v>-1.7035780000000001E-3</v>
      </c>
      <c r="D189">
        <v>370</v>
      </c>
      <c r="E189">
        <v>-2.6954180000000002E-3</v>
      </c>
      <c r="F189">
        <v>9.9183999999999991E-4</v>
      </c>
      <c r="G189">
        <v>9.9183999999999991E-4</v>
      </c>
      <c r="H189">
        <v>1.4650356999999999E-2</v>
      </c>
      <c r="I189">
        <v>1.8747025E-2</v>
      </c>
      <c r="J189">
        <v>1</v>
      </c>
      <c r="K189">
        <v>0</v>
      </c>
      <c r="L189">
        <v>0</v>
      </c>
      <c r="M189">
        <v>5</v>
      </c>
      <c r="N189">
        <v>1.9980129339999999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W189">
        <v>0</v>
      </c>
      <c r="X189">
        <v>0</v>
      </c>
      <c r="Y189">
        <v>0</v>
      </c>
      <c r="Z189">
        <v>1.8747025E-2</v>
      </c>
      <c r="AA189">
        <v>0</v>
      </c>
      <c r="AB189" t="s">
        <v>33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f t="shared" si="2"/>
        <v>0</v>
      </c>
    </row>
    <row r="190" spans="1:34" x14ac:dyDescent="0.25">
      <c r="A190" s="1">
        <v>43759</v>
      </c>
      <c r="B190">
        <v>290</v>
      </c>
      <c r="C190">
        <v>-1.0238908E-2</v>
      </c>
      <c r="D190">
        <v>369</v>
      </c>
      <c r="E190">
        <v>-2.7027029999999999E-3</v>
      </c>
      <c r="F190">
        <v>-7.5362049999999998E-3</v>
      </c>
      <c r="G190">
        <v>7.5362049999999998E-3</v>
      </c>
      <c r="H190">
        <v>1.0726602E-2</v>
      </c>
      <c r="I190">
        <v>1.8701545E-2</v>
      </c>
      <c r="J190">
        <v>0</v>
      </c>
      <c r="K190">
        <v>0</v>
      </c>
      <c r="L190">
        <v>0</v>
      </c>
      <c r="M190">
        <v>5</v>
      </c>
      <c r="N190">
        <v>0.33587138900000002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W190">
        <v>0</v>
      </c>
      <c r="X190">
        <v>0</v>
      </c>
      <c r="Y190">
        <v>0</v>
      </c>
      <c r="Z190">
        <v>1.8701545E-2</v>
      </c>
      <c r="AA190">
        <v>0</v>
      </c>
      <c r="AB190" t="s">
        <v>33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f t="shared" si="2"/>
        <v>0</v>
      </c>
    </row>
    <row r="191" spans="1:34" x14ac:dyDescent="0.25">
      <c r="A191" s="1">
        <v>43760</v>
      </c>
      <c r="B191">
        <v>294</v>
      </c>
      <c r="C191">
        <v>1.3793102999999999E-2</v>
      </c>
      <c r="D191">
        <v>371.5</v>
      </c>
      <c r="E191">
        <v>6.7750680000000004E-3</v>
      </c>
      <c r="F191">
        <v>7.0180360000000001E-3</v>
      </c>
      <c r="G191">
        <v>7.0180360000000001E-3</v>
      </c>
      <c r="H191">
        <v>1.1225825E-2</v>
      </c>
      <c r="I191">
        <v>1.8199203000000001E-2</v>
      </c>
      <c r="J191">
        <v>1</v>
      </c>
      <c r="K191">
        <v>0</v>
      </c>
      <c r="L191">
        <v>0</v>
      </c>
      <c r="M191">
        <v>5</v>
      </c>
      <c r="N191">
        <v>0.62067340500000001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W191">
        <v>0</v>
      </c>
      <c r="X191">
        <v>0</v>
      </c>
      <c r="Y191">
        <v>0</v>
      </c>
      <c r="Z191">
        <v>1.8199203000000001E-2</v>
      </c>
      <c r="AA191">
        <v>0</v>
      </c>
      <c r="AB191" t="s">
        <v>33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f t="shared" si="2"/>
        <v>0</v>
      </c>
    </row>
    <row r="192" spans="1:34" x14ac:dyDescent="0.25">
      <c r="A192" s="1">
        <v>43761</v>
      </c>
      <c r="B192">
        <v>293</v>
      </c>
      <c r="C192">
        <v>-3.4013609999999999E-3</v>
      </c>
      <c r="D192">
        <v>372</v>
      </c>
      <c r="E192">
        <v>1.3458949999999999E-3</v>
      </c>
      <c r="F192">
        <v>-4.747256E-3</v>
      </c>
      <c r="G192">
        <v>4.747256E-3</v>
      </c>
      <c r="H192">
        <v>9.8068730000000007E-3</v>
      </c>
      <c r="I192">
        <v>1.3914331E-2</v>
      </c>
      <c r="J192">
        <v>0</v>
      </c>
      <c r="K192">
        <v>0</v>
      </c>
      <c r="L192">
        <v>0</v>
      </c>
      <c r="M192">
        <v>5</v>
      </c>
      <c r="N192">
        <v>0.502381729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W192">
        <v>0</v>
      </c>
      <c r="X192">
        <v>0</v>
      </c>
      <c r="Y192">
        <v>0</v>
      </c>
      <c r="Z192">
        <v>1.3914331E-2</v>
      </c>
      <c r="AA192">
        <v>0</v>
      </c>
      <c r="AB192" t="s">
        <v>33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f t="shared" si="2"/>
        <v>0</v>
      </c>
    </row>
    <row r="193" spans="1:34" x14ac:dyDescent="0.25">
      <c r="A193" s="1">
        <v>43762</v>
      </c>
      <c r="B193">
        <v>293</v>
      </c>
      <c r="C193">
        <v>0</v>
      </c>
      <c r="D193">
        <v>381.5</v>
      </c>
      <c r="E193">
        <v>2.5537634E-2</v>
      </c>
      <c r="F193">
        <v>-2.5537634E-2</v>
      </c>
      <c r="G193">
        <v>2.5537634E-2</v>
      </c>
      <c r="H193">
        <v>8.7902699999999993E-3</v>
      </c>
      <c r="I193">
        <v>1.1776276E-2</v>
      </c>
      <c r="J193">
        <v>0</v>
      </c>
      <c r="K193">
        <v>0</v>
      </c>
      <c r="L193">
        <v>0</v>
      </c>
      <c r="M193">
        <v>5</v>
      </c>
      <c r="N193" t="s">
        <v>36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W193">
        <v>0</v>
      </c>
      <c r="X193">
        <v>0</v>
      </c>
      <c r="Y193">
        <v>0</v>
      </c>
      <c r="Z193">
        <v>1.1776276E-2</v>
      </c>
      <c r="AA193">
        <v>0</v>
      </c>
      <c r="AB193" t="s">
        <v>33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f t="shared" si="2"/>
        <v>0</v>
      </c>
    </row>
    <row r="194" spans="1:34" x14ac:dyDescent="0.25">
      <c r="A194" s="1">
        <v>43763</v>
      </c>
      <c r="B194">
        <v>293.5</v>
      </c>
      <c r="C194">
        <v>1.706485E-3</v>
      </c>
      <c r="D194">
        <v>379</v>
      </c>
      <c r="E194">
        <v>-6.5530800000000002E-3</v>
      </c>
      <c r="F194">
        <v>8.259565E-3</v>
      </c>
      <c r="G194">
        <v>8.259565E-3</v>
      </c>
      <c r="H194">
        <v>8.787418E-3</v>
      </c>
      <c r="I194">
        <v>1.2560173000000001E-2</v>
      </c>
      <c r="J194">
        <v>1</v>
      </c>
      <c r="K194">
        <v>0</v>
      </c>
      <c r="L194">
        <v>0</v>
      </c>
      <c r="M194">
        <v>5</v>
      </c>
      <c r="N194">
        <v>4.9587725310000001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W194">
        <v>0</v>
      </c>
      <c r="X194">
        <v>0</v>
      </c>
      <c r="Y194">
        <v>0</v>
      </c>
      <c r="Z194">
        <v>1.2560173000000001E-2</v>
      </c>
      <c r="AA194">
        <v>0</v>
      </c>
      <c r="AB194" t="s">
        <v>33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f t="shared" si="2"/>
        <v>0</v>
      </c>
    </row>
    <row r="195" spans="1:34" x14ac:dyDescent="0.25">
      <c r="A195" s="1">
        <v>43766</v>
      </c>
      <c r="B195">
        <v>294.5</v>
      </c>
      <c r="C195">
        <v>3.4071549999999998E-3</v>
      </c>
      <c r="D195">
        <v>387</v>
      </c>
      <c r="E195">
        <v>2.1108179000000001E-2</v>
      </c>
      <c r="F195">
        <v>-1.7701023999999999E-2</v>
      </c>
      <c r="G195">
        <v>1.7701023999999999E-2</v>
      </c>
      <c r="H195">
        <v>6.4856840000000002E-3</v>
      </c>
      <c r="I195">
        <v>1.3448696E-2</v>
      </c>
      <c r="J195">
        <v>0</v>
      </c>
      <c r="K195">
        <v>1</v>
      </c>
      <c r="L195">
        <v>1</v>
      </c>
      <c r="M195">
        <v>5</v>
      </c>
      <c r="N195">
        <v>8.1411273519999998</v>
      </c>
      <c r="O195">
        <v>41</v>
      </c>
      <c r="P195">
        <v>-5</v>
      </c>
      <c r="Q195">
        <v>46</v>
      </c>
      <c r="R195">
        <v>-12074.5</v>
      </c>
      <c r="S195">
        <v>1935</v>
      </c>
      <c r="T195">
        <v>0</v>
      </c>
      <c r="U195">
        <v>0</v>
      </c>
      <c r="V195" t="s">
        <v>34</v>
      </c>
      <c r="W195">
        <v>-12074.5</v>
      </c>
      <c r="X195">
        <v>1935</v>
      </c>
      <c r="Y195">
        <v>0</v>
      </c>
      <c r="Z195">
        <v>1.3448696E-2</v>
      </c>
      <c r="AA195">
        <v>14009.5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14009.5</v>
      </c>
      <c r="AH195">
        <f t="shared" ref="AH195:AH258" si="3">IF(AF195&lt;&gt;0,AF195/AA195,0)</f>
        <v>0</v>
      </c>
    </row>
    <row r="196" spans="1:34" x14ac:dyDescent="0.25">
      <c r="A196" s="1">
        <v>43767</v>
      </c>
      <c r="B196">
        <v>298.5</v>
      </c>
      <c r="C196">
        <v>1.3582343E-2</v>
      </c>
      <c r="D196">
        <v>393</v>
      </c>
      <c r="E196">
        <v>1.5503876E-2</v>
      </c>
      <c r="F196">
        <v>-1.921533E-3</v>
      </c>
      <c r="G196">
        <v>1.921533E-3</v>
      </c>
      <c r="H196">
        <v>6.3989260000000001E-3</v>
      </c>
      <c r="I196">
        <v>1.3549545E-2</v>
      </c>
      <c r="J196">
        <v>0</v>
      </c>
      <c r="K196">
        <v>1</v>
      </c>
      <c r="L196">
        <v>0</v>
      </c>
      <c r="M196">
        <v>5</v>
      </c>
      <c r="N196">
        <v>1.5028436759999999</v>
      </c>
      <c r="O196">
        <v>-41</v>
      </c>
      <c r="P196">
        <v>5</v>
      </c>
      <c r="Q196">
        <v>46</v>
      </c>
      <c r="R196">
        <v>12238.5</v>
      </c>
      <c r="S196">
        <v>-1965</v>
      </c>
      <c r="T196">
        <v>164</v>
      </c>
      <c r="U196">
        <v>-30</v>
      </c>
      <c r="V196" t="s">
        <v>37</v>
      </c>
      <c r="W196">
        <v>0</v>
      </c>
      <c r="X196">
        <v>0</v>
      </c>
      <c r="Y196">
        <v>0</v>
      </c>
      <c r="Z196">
        <v>1.3549545E-2</v>
      </c>
      <c r="AA196">
        <v>14203.5</v>
      </c>
      <c r="AB196">
        <v>0</v>
      </c>
      <c r="AC196">
        <v>134</v>
      </c>
      <c r="AD196">
        <v>9.4342939999999993E-3</v>
      </c>
      <c r="AE196">
        <v>0</v>
      </c>
      <c r="AF196">
        <v>0</v>
      </c>
      <c r="AG196">
        <v>0</v>
      </c>
      <c r="AH196">
        <f t="shared" si="3"/>
        <v>0</v>
      </c>
    </row>
    <row r="197" spans="1:34" x14ac:dyDescent="0.25">
      <c r="A197" s="1">
        <v>43768</v>
      </c>
      <c r="B197">
        <v>299.5</v>
      </c>
      <c r="C197">
        <v>3.3500840000000001E-3</v>
      </c>
      <c r="D197">
        <v>396.5</v>
      </c>
      <c r="E197">
        <v>8.9058520000000006E-3</v>
      </c>
      <c r="F197">
        <v>-5.5557690000000003E-3</v>
      </c>
      <c r="G197">
        <v>5.5557690000000003E-3</v>
      </c>
      <c r="H197">
        <v>5.3154980000000001E-3</v>
      </c>
      <c r="I197">
        <v>1.2532355E-2</v>
      </c>
      <c r="J197">
        <v>0</v>
      </c>
      <c r="K197">
        <v>1</v>
      </c>
      <c r="L197">
        <v>0</v>
      </c>
      <c r="M197">
        <v>5</v>
      </c>
      <c r="N197">
        <v>3.5193802650000001</v>
      </c>
      <c r="O197">
        <v>-41</v>
      </c>
      <c r="P197">
        <v>5</v>
      </c>
      <c r="Q197">
        <v>46</v>
      </c>
      <c r="R197">
        <v>12279.5</v>
      </c>
      <c r="S197">
        <v>-1982.5</v>
      </c>
      <c r="T197">
        <v>205</v>
      </c>
      <c r="U197">
        <v>-47.5</v>
      </c>
      <c r="V197" t="s">
        <v>37</v>
      </c>
      <c r="W197">
        <v>0</v>
      </c>
      <c r="X197">
        <v>0</v>
      </c>
      <c r="Y197">
        <v>0</v>
      </c>
      <c r="Z197">
        <v>1.2532355E-2</v>
      </c>
      <c r="AA197">
        <v>14262</v>
      </c>
      <c r="AB197">
        <v>0</v>
      </c>
      <c r="AC197">
        <v>157.5</v>
      </c>
      <c r="AD197">
        <v>1.1043331999999999E-2</v>
      </c>
      <c r="AE197">
        <v>0</v>
      </c>
      <c r="AF197">
        <v>0</v>
      </c>
      <c r="AG197">
        <v>0</v>
      </c>
      <c r="AH197">
        <f t="shared" si="3"/>
        <v>0</v>
      </c>
    </row>
    <row r="198" spans="1:34" x14ac:dyDescent="0.25">
      <c r="A198" s="1">
        <v>43769</v>
      </c>
      <c r="B198">
        <v>298.5</v>
      </c>
      <c r="C198">
        <v>-3.3388979999999999E-3</v>
      </c>
      <c r="D198">
        <v>408</v>
      </c>
      <c r="E198">
        <v>2.9003783000000002E-2</v>
      </c>
      <c r="F198">
        <v>-3.2342680999999998E-2</v>
      </c>
      <c r="G198">
        <v>3.2342680999999998E-2</v>
      </c>
      <c r="H198">
        <v>6.1518390000000001E-3</v>
      </c>
      <c r="I198">
        <v>1.3467140000000001E-2</v>
      </c>
      <c r="J198">
        <v>0</v>
      </c>
      <c r="K198">
        <v>1</v>
      </c>
      <c r="L198">
        <v>0</v>
      </c>
      <c r="M198">
        <v>5</v>
      </c>
      <c r="N198">
        <v>11.87318687</v>
      </c>
      <c r="O198">
        <v>-41</v>
      </c>
      <c r="P198">
        <v>5</v>
      </c>
      <c r="Q198">
        <v>46</v>
      </c>
      <c r="R198">
        <v>12238.5</v>
      </c>
      <c r="S198">
        <v>-2040</v>
      </c>
      <c r="T198">
        <v>164</v>
      </c>
      <c r="U198">
        <v>-105</v>
      </c>
      <c r="V198" t="s">
        <v>37</v>
      </c>
      <c r="W198">
        <v>0</v>
      </c>
      <c r="X198">
        <v>0</v>
      </c>
      <c r="Y198">
        <v>0</v>
      </c>
      <c r="Z198">
        <v>1.3467140000000001E-2</v>
      </c>
      <c r="AA198">
        <v>14278.5</v>
      </c>
      <c r="AB198">
        <v>0</v>
      </c>
      <c r="AC198">
        <v>59</v>
      </c>
      <c r="AD198">
        <v>4.1320870000000004E-3</v>
      </c>
      <c r="AE198">
        <v>0</v>
      </c>
      <c r="AF198">
        <v>0</v>
      </c>
      <c r="AG198">
        <v>0</v>
      </c>
      <c r="AH198">
        <f t="shared" si="3"/>
        <v>0</v>
      </c>
    </row>
    <row r="199" spans="1:34" x14ac:dyDescent="0.25">
      <c r="A199" s="1">
        <v>43770</v>
      </c>
      <c r="B199">
        <v>299</v>
      </c>
      <c r="C199">
        <v>1.6750420000000001E-3</v>
      </c>
      <c r="D199">
        <v>405</v>
      </c>
      <c r="E199">
        <v>-7.352941E-3</v>
      </c>
      <c r="F199">
        <v>9.0279829999999998E-3</v>
      </c>
      <c r="G199">
        <v>9.0279829999999998E-3</v>
      </c>
      <c r="H199">
        <v>6.1544549999999996E-3</v>
      </c>
      <c r="I199">
        <v>1.3767685E-2</v>
      </c>
      <c r="J199">
        <v>1</v>
      </c>
      <c r="K199">
        <v>0</v>
      </c>
      <c r="L199">
        <v>-1</v>
      </c>
      <c r="M199">
        <v>5</v>
      </c>
      <c r="N199">
        <v>5.945922683</v>
      </c>
      <c r="O199">
        <v>-41</v>
      </c>
      <c r="P199">
        <v>5</v>
      </c>
      <c r="Q199">
        <v>46</v>
      </c>
      <c r="R199">
        <v>12259</v>
      </c>
      <c r="S199">
        <v>-2025</v>
      </c>
      <c r="T199">
        <v>184.5</v>
      </c>
      <c r="U199">
        <v>-90</v>
      </c>
      <c r="V199" t="s">
        <v>35</v>
      </c>
      <c r="W199">
        <v>12259</v>
      </c>
      <c r="X199">
        <v>-2025</v>
      </c>
      <c r="Y199">
        <v>94.5</v>
      </c>
      <c r="Z199">
        <v>1.3767685E-2</v>
      </c>
      <c r="AA199">
        <v>14284</v>
      </c>
      <c r="AB199">
        <v>0</v>
      </c>
      <c r="AC199">
        <v>94.5</v>
      </c>
      <c r="AD199">
        <v>6.6157940000000004E-3</v>
      </c>
      <c r="AE199">
        <v>0</v>
      </c>
      <c r="AF199">
        <v>94.5</v>
      </c>
      <c r="AG199">
        <v>0</v>
      </c>
      <c r="AH199">
        <f t="shared" si="3"/>
        <v>6.6157938952674323E-3</v>
      </c>
    </row>
    <row r="200" spans="1:34" x14ac:dyDescent="0.25">
      <c r="A200" s="1">
        <v>43773</v>
      </c>
      <c r="B200">
        <v>307</v>
      </c>
      <c r="C200">
        <v>2.6755853E-2</v>
      </c>
      <c r="D200">
        <v>412</v>
      </c>
      <c r="E200">
        <v>1.7283950999999999E-2</v>
      </c>
      <c r="F200">
        <v>9.4719020000000008E-3</v>
      </c>
      <c r="G200">
        <v>9.4719020000000008E-3</v>
      </c>
      <c r="H200">
        <v>1.1961629999999999E-2</v>
      </c>
      <c r="I200">
        <v>1.3334156E-2</v>
      </c>
      <c r="J200">
        <v>1</v>
      </c>
      <c r="K200">
        <v>0</v>
      </c>
      <c r="L200">
        <v>0</v>
      </c>
      <c r="M200">
        <v>5</v>
      </c>
      <c r="N200">
        <v>0.86692805699999997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W200">
        <v>0</v>
      </c>
      <c r="X200">
        <v>0</v>
      </c>
      <c r="Y200">
        <v>0</v>
      </c>
      <c r="Z200">
        <v>1.3334156E-2</v>
      </c>
      <c r="AA200">
        <v>0</v>
      </c>
      <c r="AB200" t="s">
        <v>33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f t="shared" si="3"/>
        <v>0</v>
      </c>
    </row>
    <row r="201" spans="1:34" x14ac:dyDescent="0.25">
      <c r="A201" s="1">
        <v>43774</v>
      </c>
      <c r="B201">
        <v>310.5</v>
      </c>
      <c r="C201">
        <v>1.1400650999999999E-2</v>
      </c>
      <c r="D201">
        <v>425</v>
      </c>
      <c r="E201">
        <v>3.1553398000000003E-2</v>
      </c>
      <c r="F201">
        <v>-2.0152746999999999E-2</v>
      </c>
      <c r="G201">
        <v>2.0152746999999999E-2</v>
      </c>
      <c r="H201">
        <v>1.1763704E-2</v>
      </c>
      <c r="I201">
        <v>1.5876622E-2</v>
      </c>
      <c r="J201">
        <v>0</v>
      </c>
      <c r="K201">
        <v>1</v>
      </c>
      <c r="L201">
        <v>1</v>
      </c>
      <c r="M201">
        <v>5</v>
      </c>
      <c r="N201">
        <v>3.788295019</v>
      </c>
      <c r="O201">
        <v>19</v>
      </c>
      <c r="P201">
        <v>-5</v>
      </c>
      <c r="Q201">
        <v>24</v>
      </c>
      <c r="R201">
        <v>-5899.5</v>
      </c>
      <c r="S201">
        <v>2125</v>
      </c>
      <c r="T201">
        <v>0</v>
      </c>
      <c r="U201">
        <v>0</v>
      </c>
      <c r="V201" t="s">
        <v>34</v>
      </c>
      <c r="W201">
        <v>-5899.5</v>
      </c>
      <c r="X201">
        <v>2125</v>
      </c>
      <c r="Y201">
        <v>0</v>
      </c>
      <c r="Z201">
        <v>1.5876622E-2</v>
      </c>
      <c r="AA201">
        <v>8024.5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8024.5</v>
      </c>
      <c r="AH201">
        <f t="shared" si="3"/>
        <v>0</v>
      </c>
    </row>
    <row r="202" spans="1:34" x14ac:dyDescent="0.25">
      <c r="A202" s="1">
        <v>43775</v>
      </c>
      <c r="B202">
        <v>311</v>
      </c>
      <c r="C202">
        <v>1.6103059999999999E-3</v>
      </c>
      <c r="D202">
        <v>434</v>
      </c>
      <c r="E202">
        <v>2.1176470999999999E-2</v>
      </c>
      <c r="F202">
        <v>-1.9566165E-2</v>
      </c>
      <c r="G202">
        <v>1.9566165E-2</v>
      </c>
      <c r="H202">
        <v>1.195858E-2</v>
      </c>
      <c r="I202">
        <v>1.547254E-2</v>
      </c>
      <c r="J202">
        <v>0</v>
      </c>
      <c r="K202">
        <v>1</v>
      </c>
      <c r="L202">
        <v>0</v>
      </c>
      <c r="M202">
        <v>5</v>
      </c>
      <c r="N202">
        <v>18.351624739999998</v>
      </c>
      <c r="O202">
        <v>-19</v>
      </c>
      <c r="P202">
        <v>5</v>
      </c>
      <c r="Q202">
        <v>24</v>
      </c>
      <c r="R202">
        <v>5909</v>
      </c>
      <c r="S202">
        <v>-2170</v>
      </c>
      <c r="T202">
        <v>9.5</v>
      </c>
      <c r="U202">
        <v>-45</v>
      </c>
      <c r="V202" t="s">
        <v>37</v>
      </c>
      <c r="W202">
        <v>0</v>
      </c>
      <c r="X202">
        <v>0</v>
      </c>
      <c r="Y202">
        <v>0</v>
      </c>
      <c r="Z202">
        <v>1.547254E-2</v>
      </c>
      <c r="AA202">
        <v>8079</v>
      </c>
      <c r="AB202">
        <v>0</v>
      </c>
      <c r="AC202">
        <v>-35.5</v>
      </c>
      <c r="AD202">
        <v>-4.3941079999999999E-3</v>
      </c>
      <c r="AE202">
        <v>0</v>
      </c>
      <c r="AF202">
        <v>0</v>
      </c>
      <c r="AG202">
        <v>0</v>
      </c>
      <c r="AH202">
        <f t="shared" si="3"/>
        <v>0</v>
      </c>
    </row>
    <row r="203" spans="1:34" x14ac:dyDescent="0.25">
      <c r="A203" s="1">
        <v>43776</v>
      </c>
      <c r="B203">
        <v>309</v>
      </c>
      <c r="C203">
        <v>-6.4308680000000002E-3</v>
      </c>
      <c r="D203">
        <v>425</v>
      </c>
      <c r="E203">
        <v>-2.0737327E-2</v>
      </c>
      <c r="F203">
        <v>1.4306459000000001E-2</v>
      </c>
      <c r="G203">
        <v>1.4306459000000001E-2</v>
      </c>
      <c r="H203">
        <v>1.2722535E-2</v>
      </c>
      <c r="I203">
        <v>2.1652831000000001E-2</v>
      </c>
      <c r="J203">
        <v>1</v>
      </c>
      <c r="K203">
        <v>0</v>
      </c>
      <c r="L203">
        <v>-1</v>
      </c>
      <c r="M203">
        <v>5</v>
      </c>
      <c r="N203">
        <v>4.4352042410000001</v>
      </c>
      <c r="O203">
        <v>-19</v>
      </c>
      <c r="P203">
        <v>5</v>
      </c>
      <c r="Q203">
        <v>24</v>
      </c>
      <c r="R203">
        <v>5871</v>
      </c>
      <c r="S203">
        <v>-2125</v>
      </c>
      <c r="T203">
        <v>-28.5</v>
      </c>
      <c r="U203">
        <v>0</v>
      </c>
      <c r="V203" t="s">
        <v>35</v>
      </c>
      <c r="W203">
        <v>5871</v>
      </c>
      <c r="X203">
        <v>-2125</v>
      </c>
      <c r="Y203">
        <v>-28.5</v>
      </c>
      <c r="Z203">
        <v>2.1652831000000001E-2</v>
      </c>
      <c r="AA203">
        <v>7996</v>
      </c>
      <c r="AB203">
        <v>0</v>
      </c>
      <c r="AC203">
        <v>-28.5</v>
      </c>
      <c r="AD203">
        <v>-3.5642820000000002E-3</v>
      </c>
      <c r="AE203">
        <v>0</v>
      </c>
      <c r="AF203">
        <v>-28.5</v>
      </c>
      <c r="AG203">
        <v>0</v>
      </c>
      <c r="AH203">
        <f t="shared" si="3"/>
        <v>-3.5642821410705352E-3</v>
      </c>
    </row>
    <row r="204" spans="1:34" x14ac:dyDescent="0.25">
      <c r="A204" s="1">
        <v>43777</v>
      </c>
      <c r="B204">
        <v>305.5</v>
      </c>
      <c r="C204">
        <v>-1.1326861000000001E-2</v>
      </c>
      <c r="D204">
        <v>414</v>
      </c>
      <c r="E204">
        <v>-2.5882353E-2</v>
      </c>
      <c r="F204">
        <v>1.4555492E-2</v>
      </c>
      <c r="G204">
        <v>1.4555492E-2</v>
      </c>
      <c r="H204">
        <v>1.5175783E-2</v>
      </c>
      <c r="I204">
        <v>2.6140344999999999E-2</v>
      </c>
      <c r="J204">
        <v>1</v>
      </c>
      <c r="K204">
        <v>0</v>
      </c>
      <c r="L204">
        <v>0</v>
      </c>
      <c r="M204">
        <v>5</v>
      </c>
      <c r="N204">
        <v>3.0965872179999998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W204">
        <v>0</v>
      </c>
      <c r="X204">
        <v>0</v>
      </c>
      <c r="Y204">
        <v>0</v>
      </c>
      <c r="Z204">
        <v>2.6140344999999999E-2</v>
      </c>
      <c r="AA204">
        <v>0</v>
      </c>
      <c r="AB204" t="s">
        <v>33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f t="shared" si="3"/>
        <v>0</v>
      </c>
    </row>
    <row r="205" spans="1:34" x14ac:dyDescent="0.25">
      <c r="A205" s="1">
        <v>43780</v>
      </c>
      <c r="B205">
        <v>301</v>
      </c>
      <c r="C205">
        <v>-1.4729951E-2</v>
      </c>
      <c r="D205">
        <v>403.5</v>
      </c>
      <c r="E205">
        <v>-2.5362319000000001E-2</v>
      </c>
      <c r="F205">
        <v>1.0632368E-2</v>
      </c>
      <c r="G205">
        <v>1.0632368E-2</v>
      </c>
      <c r="H205">
        <v>1.0527639E-2</v>
      </c>
      <c r="I205">
        <v>2.789763E-2</v>
      </c>
      <c r="J205">
        <v>1</v>
      </c>
      <c r="K205">
        <v>0</v>
      </c>
      <c r="L205">
        <v>0</v>
      </c>
      <c r="M205">
        <v>5</v>
      </c>
      <c r="N205">
        <v>2.3081535780000002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W205">
        <v>0</v>
      </c>
      <c r="X205">
        <v>0</v>
      </c>
      <c r="Y205">
        <v>0</v>
      </c>
      <c r="Z205">
        <v>2.789763E-2</v>
      </c>
      <c r="AA205">
        <v>0</v>
      </c>
      <c r="AB205" t="s">
        <v>33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f t="shared" si="3"/>
        <v>0</v>
      </c>
    </row>
    <row r="206" spans="1:34" x14ac:dyDescent="0.25">
      <c r="A206" s="1">
        <v>43781</v>
      </c>
      <c r="B206">
        <v>305</v>
      </c>
      <c r="C206">
        <v>1.3289037E-2</v>
      </c>
      <c r="D206">
        <v>410</v>
      </c>
      <c r="E206">
        <v>1.6109045999999998E-2</v>
      </c>
      <c r="F206">
        <v>-2.8200090000000001E-3</v>
      </c>
      <c r="G206">
        <v>2.8200090000000001E-3</v>
      </c>
      <c r="H206">
        <v>1.1224381E-2</v>
      </c>
      <c r="I206">
        <v>2.3507208000000002E-2</v>
      </c>
      <c r="J206">
        <v>0</v>
      </c>
      <c r="K206">
        <v>0</v>
      </c>
      <c r="L206">
        <v>0</v>
      </c>
      <c r="M206">
        <v>5</v>
      </c>
      <c r="N206">
        <v>1.629522417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W206">
        <v>0</v>
      </c>
      <c r="X206">
        <v>0</v>
      </c>
      <c r="Y206">
        <v>0</v>
      </c>
      <c r="Z206">
        <v>2.3507208000000002E-2</v>
      </c>
      <c r="AA206">
        <v>0</v>
      </c>
      <c r="AB206" t="s">
        <v>33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f t="shared" si="3"/>
        <v>0</v>
      </c>
    </row>
    <row r="207" spans="1:34" x14ac:dyDescent="0.25">
      <c r="A207" s="1">
        <v>43782</v>
      </c>
      <c r="B207">
        <v>304</v>
      </c>
      <c r="C207">
        <v>-3.278689E-3</v>
      </c>
      <c r="D207">
        <v>408</v>
      </c>
      <c r="E207">
        <v>-4.8780489999999998E-3</v>
      </c>
      <c r="F207">
        <v>1.59936E-3</v>
      </c>
      <c r="G207">
        <v>1.59936E-3</v>
      </c>
      <c r="H207">
        <v>1.0873448000000001E-2</v>
      </c>
      <c r="I207">
        <v>1.7946726999999999E-2</v>
      </c>
      <c r="J207">
        <v>1</v>
      </c>
      <c r="K207">
        <v>0</v>
      </c>
      <c r="L207">
        <v>0</v>
      </c>
      <c r="M207">
        <v>5</v>
      </c>
      <c r="N207">
        <v>1.9967907570000001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W207">
        <v>0</v>
      </c>
      <c r="X207">
        <v>0</v>
      </c>
      <c r="Y207">
        <v>0</v>
      </c>
      <c r="Z207">
        <v>1.7946726999999999E-2</v>
      </c>
      <c r="AA207">
        <v>0</v>
      </c>
      <c r="AB207" t="s">
        <v>33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f t="shared" si="3"/>
        <v>0</v>
      </c>
    </row>
    <row r="208" spans="1:34" x14ac:dyDescent="0.25">
      <c r="A208" s="1">
        <v>43783</v>
      </c>
      <c r="B208">
        <v>303.5</v>
      </c>
      <c r="C208">
        <v>-1.6447370000000001E-3</v>
      </c>
      <c r="D208">
        <v>410.5</v>
      </c>
      <c r="E208">
        <v>6.1274509999999999E-3</v>
      </c>
      <c r="F208">
        <v>-7.7721880000000002E-3</v>
      </c>
      <c r="G208">
        <v>7.7721880000000002E-3</v>
      </c>
      <c r="H208">
        <v>1.0871143E-2</v>
      </c>
      <c r="I208">
        <v>1.8737199E-2</v>
      </c>
      <c r="J208">
        <v>0</v>
      </c>
      <c r="K208">
        <v>0</v>
      </c>
      <c r="L208">
        <v>0</v>
      </c>
      <c r="M208">
        <v>5</v>
      </c>
      <c r="N208">
        <v>5.0389249600000001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W208">
        <v>0</v>
      </c>
      <c r="X208">
        <v>0</v>
      </c>
      <c r="Y208">
        <v>0</v>
      </c>
      <c r="Z208">
        <v>1.8737199E-2</v>
      </c>
      <c r="AA208">
        <v>0</v>
      </c>
      <c r="AB208" t="s">
        <v>33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f t="shared" si="3"/>
        <v>0</v>
      </c>
    </row>
    <row r="209" spans="1:34" x14ac:dyDescent="0.25">
      <c r="A209" s="1">
        <v>43784</v>
      </c>
      <c r="B209">
        <v>307</v>
      </c>
      <c r="C209">
        <v>1.1532125000000001E-2</v>
      </c>
      <c r="D209">
        <v>422</v>
      </c>
      <c r="E209">
        <v>2.8014615999999999E-2</v>
      </c>
      <c r="F209">
        <v>-1.6482490999999998E-2</v>
      </c>
      <c r="G209">
        <v>1.6482490999999998E-2</v>
      </c>
      <c r="H209">
        <v>1.1561505E-2</v>
      </c>
      <c r="I209">
        <v>2.0425611E-2</v>
      </c>
      <c r="J209">
        <v>0</v>
      </c>
      <c r="K209">
        <v>0</v>
      </c>
      <c r="L209">
        <v>0</v>
      </c>
      <c r="M209">
        <v>5</v>
      </c>
      <c r="N209">
        <v>3.33925362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W209">
        <v>0</v>
      </c>
      <c r="X209">
        <v>0</v>
      </c>
      <c r="Y209">
        <v>0</v>
      </c>
      <c r="Z209">
        <v>2.0425611E-2</v>
      </c>
      <c r="AA209">
        <v>0</v>
      </c>
      <c r="AB209" t="s">
        <v>33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f t="shared" si="3"/>
        <v>0</v>
      </c>
    </row>
    <row r="210" spans="1:34" x14ac:dyDescent="0.25">
      <c r="A210" s="1">
        <v>43787</v>
      </c>
      <c r="B210">
        <v>311</v>
      </c>
      <c r="C210">
        <v>1.3029316000000001E-2</v>
      </c>
      <c r="D210">
        <v>419.5</v>
      </c>
      <c r="E210">
        <v>-5.9241709999999998E-3</v>
      </c>
      <c r="F210">
        <v>1.8953487000000002E-2</v>
      </c>
      <c r="G210">
        <v>1.8953487000000002E-2</v>
      </c>
      <c r="H210">
        <v>8.3061469999999998E-3</v>
      </c>
      <c r="I210">
        <v>1.4400641E-2</v>
      </c>
      <c r="J210">
        <v>1</v>
      </c>
      <c r="K210">
        <v>1</v>
      </c>
      <c r="L210">
        <v>1</v>
      </c>
      <c r="M210">
        <v>5</v>
      </c>
      <c r="N210">
        <v>0.61330642999999996</v>
      </c>
      <c r="O210">
        <v>-4</v>
      </c>
      <c r="P210">
        <v>5</v>
      </c>
      <c r="Q210">
        <v>9</v>
      </c>
      <c r="R210">
        <v>1244</v>
      </c>
      <c r="S210">
        <v>-2097.5</v>
      </c>
      <c r="T210">
        <v>0</v>
      </c>
      <c r="U210">
        <v>0</v>
      </c>
      <c r="V210" t="s">
        <v>34</v>
      </c>
      <c r="W210">
        <v>1244</v>
      </c>
      <c r="X210">
        <v>-2097.5</v>
      </c>
      <c r="Y210">
        <v>0</v>
      </c>
      <c r="Z210">
        <v>1.4400641E-2</v>
      </c>
      <c r="AA210">
        <v>3341.5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3341.5</v>
      </c>
      <c r="AH210">
        <f t="shared" si="3"/>
        <v>0</v>
      </c>
    </row>
    <row r="211" spans="1:34" x14ac:dyDescent="0.25">
      <c r="A211" s="1">
        <v>43788</v>
      </c>
      <c r="B211">
        <v>315</v>
      </c>
      <c r="C211">
        <v>1.2861736E-2</v>
      </c>
      <c r="D211">
        <v>421</v>
      </c>
      <c r="E211">
        <v>3.5756849999999999E-3</v>
      </c>
      <c r="F211">
        <v>9.286051E-3</v>
      </c>
      <c r="G211">
        <v>9.286051E-3</v>
      </c>
      <c r="H211">
        <v>8.2217000000000002E-3</v>
      </c>
      <c r="I211">
        <v>1.3685320000000001E-2</v>
      </c>
      <c r="J211">
        <v>1</v>
      </c>
      <c r="K211">
        <v>1</v>
      </c>
      <c r="L211">
        <v>0</v>
      </c>
      <c r="M211">
        <v>5</v>
      </c>
      <c r="N211">
        <v>0.37156194999999997</v>
      </c>
      <c r="O211">
        <v>4</v>
      </c>
      <c r="P211">
        <v>-5</v>
      </c>
      <c r="Q211">
        <v>9</v>
      </c>
      <c r="R211">
        <v>-1260</v>
      </c>
      <c r="S211">
        <v>2105</v>
      </c>
      <c r="T211">
        <v>-16</v>
      </c>
      <c r="U211">
        <v>7.5</v>
      </c>
      <c r="V211" t="s">
        <v>37</v>
      </c>
      <c r="W211">
        <v>0</v>
      </c>
      <c r="X211">
        <v>0</v>
      </c>
      <c r="Y211">
        <v>0</v>
      </c>
      <c r="Z211">
        <v>1.3685320000000001E-2</v>
      </c>
      <c r="AA211">
        <v>3365</v>
      </c>
      <c r="AB211">
        <v>0</v>
      </c>
      <c r="AC211">
        <v>-8.5</v>
      </c>
      <c r="AD211">
        <v>-2.5260030000000002E-3</v>
      </c>
      <c r="AE211">
        <v>0</v>
      </c>
      <c r="AF211">
        <v>0</v>
      </c>
      <c r="AG211">
        <v>0</v>
      </c>
      <c r="AH211">
        <f t="shared" si="3"/>
        <v>0</v>
      </c>
    </row>
    <row r="212" spans="1:34" x14ac:dyDescent="0.25">
      <c r="A212" s="1">
        <v>43789</v>
      </c>
      <c r="B212">
        <v>313.5</v>
      </c>
      <c r="C212">
        <v>-4.7619050000000003E-3</v>
      </c>
      <c r="D212">
        <v>414.5</v>
      </c>
      <c r="E212">
        <v>-1.5439430000000001E-2</v>
      </c>
      <c r="F212">
        <v>1.0677525E-2</v>
      </c>
      <c r="G212">
        <v>1.0677525E-2</v>
      </c>
      <c r="H212">
        <v>8.6768809999999991E-3</v>
      </c>
      <c r="I212">
        <v>1.6241383000000002E-2</v>
      </c>
      <c r="J212">
        <v>1</v>
      </c>
      <c r="K212">
        <v>1</v>
      </c>
      <c r="L212">
        <v>0</v>
      </c>
      <c r="M212">
        <v>5</v>
      </c>
      <c r="N212">
        <v>4.2868426739999999</v>
      </c>
      <c r="O212">
        <v>4</v>
      </c>
      <c r="P212">
        <v>-5</v>
      </c>
      <c r="Q212">
        <v>9</v>
      </c>
      <c r="R212">
        <v>-1254</v>
      </c>
      <c r="S212">
        <v>2072.5</v>
      </c>
      <c r="T212">
        <v>-10</v>
      </c>
      <c r="U212">
        <v>-25</v>
      </c>
      <c r="V212" t="s">
        <v>37</v>
      </c>
      <c r="W212">
        <v>0</v>
      </c>
      <c r="X212">
        <v>0</v>
      </c>
      <c r="Y212">
        <v>0</v>
      </c>
      <c r="Z212">
        <v>1.6241383000000002E-2</v>
      </c>
      <c r="AA212">
        <v>3326.5</v>
      </c>
      <c r="AB212">
        <v>0</v>
      </c>
      <c r="AC212">
        <v>-35</v>
      </c>
      <c r="AD212">
        <v>-1.0521569E-2</v>
      </c>
      <c r="AE212">
        <v>0</v>
      </c>
      <c r="AF212">
        <v>0</v>
      </c>
      <c r="AG212">
        <v>0</v>
      </c>
      <c r="AH212">
        <f t="shared" si="3"/>
        <v>0</v>
      </c>
    </row>
    <row r="213" spans="1:34" x14ac:dyDescent="0.25">
      <c r="A213" s="1">
        <v>43790</v>
      </c>
      <c r="B213">
        <v>311</v>
      </c>
      <c r="C213">
        <v>-7.9744819999999998E-3</v>
      </c>
      <c r="D213">
        <v>407</v>
      </c>
      <c r="E213">
        <v>-1.8094089000000001E-2</v>
      </c>
      <c r="F213">
        <v>1.0119608E-2</v>
      </c>
      <c r="G213">
        <v>1.0119608E-2</v>
      </c>
      <c r="H213">
        <v>1.0399011999999999E-2</v>
      </c>
      <c r="I213">
        <v>1.8615135000000001E-2</v>
      </c>
      <c r="J213">
        <v>1</v>
      </c>
      <c r="K213">
        <v>1</v>
      </c>
      <c r="L213">
        <v>0</v>
      </c>
      <c r="M213">
        <v>5</v>
      </c>
      <c r="N213">
        <v>2.9693971349999999</v>
      </c>
      <c r="O213">
        <v>4</v>
      </c>
      <c r="P213">
        <v>-5</v>
      </c>
      <c r="Q213">
        <v>9</v>
      </c>
      <c r="R213">
        <v>-1244</v>
      </c>
      <c r="S213">
        <v>2035</v>
      </c>
      <c r="T213">
        <v>0</v>
      </c>
      <c r="U213">
        <v>-62.5</v>
      </c>
      <c r="V213" t="s">
        <v>37</v>
      </c>
      <c r="W213">
        <v>0</v>
      </c>
      <c r="X213">
        <v>0</v>
      </c>
      <c r="Y213">
        <v>0</v>
      </c>
      <c r="Z213">
        <v>1.8615135000000001E-2</v>
      </c>
      <c r="AA213">
        <v>3279</v>
      </c>
      <c r="AB213">
        <v>0</v>
      </c>
      <c r="AC213">
        <v>-62.5</v>
      </c>
      <c r="AD213">
        <v>-1.9060688999999999E-2</v>
      </c>
      <c r="AE213">
        <v>1</v>
      </c>
      <c r="AF213">
        <v>-62.5</v>
      </c>
      <c r="AG213">
        <v>0</v>
      </c>
      <c r="AH213">
        <f t="shared" si="3"/>
        <v>-1.9060689234522719E-2</v>
      </c>
    </row>
    <row r="214" spans="1:34" x14ac:dyDescent="0.25">
      <c r="A214" s="1">
        <v>43791</v>
      </c>
      <c r="B214">
        <v>309</v>
      </c>
      <c r="C214">
        <v>-6.4308680000000002E-3</v>
      </c>
      <c r="D214">
        <v>411</v>
      </c>
      <c r="E214">
        <v>9.8280099999999999E-3</v>
      </c>
      <c r="F214">
        <v>-1.6258878000000001E-2</v>
      </c>
      <c r="G214">
        <v>1.6258878000000001E-2</v>
      </c>
      <c r="H214">
        <v>1.0650934000000001E-2</v>
      </c>
      <c r="I214">
        <v>1.1984167E-2</v>
      </c>
      <c r="J214">
        <v>0</v>
      </c>
      <c r="K214">
        <v>0</v>
      </c>
      <c r="L214">
        <v>-1</v>
      </c>
      <c r="M214">
        <v>5</v>
      </c>
      <c r="N214">
        <v>2.0327282270000002</v>
      </c>
      <c r="O214">
        <v>4</v>
      </c>
      <c r="P214">
        <v>-5</v>
      </c>
      <c r="Q214">
        <v>9</v>
      </c>
      <c r="R214">
        <v>-1236</v>
      </c>
      <c r="S214">
        <v>2055</v>
      </c>
      <c r="T214">
        <v>8</v>
      </c>
      <c r="U214">
        <v>-42.5</v>
      </c>
      <c r="V214" t="s">
        <v>35</v>
      </c>
      <c r="W214">
        <v>-1236</v>
      </c>
      <c r="X214">
        <v>2055</v>
      </c>
      <c r="Y214">
        <v>-34.5</v>
      </c>
      <c r="Z214">
        <v>1.1984167E-2</v>
      </c>
      <c r="AA214">
        <v>3291</v>
      </c>
      <c r="AB214">
        <v>0</v>
      </c>
      <c r="AC214">
        <v>-34.5</v>
      </c>
      <c r="AD214">
        <v>-1.0483136000000001E-2</v>
      </c>
      <c r="AE214">
        <v>0</v>
      </c>
      <c r="AF214">
        <v>0</v>
      </c>
      <c r="AG214">
        <v>0</v>
      </c>
      <c r="AH214">
        <f t="shared" si="3"/>
        <v>0</v>
      </c>
    </row>
    <row r="215" spans="1:34" x14ac:dyDescent="0.25">
      <c r="A215" s="1">
        <v>43794</v>
      </c>
      <c r="B215">
        <v>307</v>
      </c>
      <c r="C215">
        <v>-6.4724919999999998E-3</v>
      </c>
      <c r="D215">
        <v>418.5</v>
      </c>
      <c r="E215">
        <v>1.8248174999999998E-2</v>
      </c>
      <c r="F215">
        <v>-2.4720667000000002E-2</v>
      </c>
      <c r="G215">
        <v>2.4720667000000002E-2</v>
      </c>
      <c r="H215">
        <v>8.6931879999999993E-3</v>
      </c>
      <c r="I215">
        <v>1.5870058999999999E-2</v>
      </c>
      <c r="J215">
        <v>0</v>
      </c>
      <c r="K215">
        <v>1</v>
      </c>
      <c r="L215">
        <v>1</v>
      </c>
      <c r="M215">
        <v>5</v>
      </c>
      <c r="N215">
        <v>3.8433064269999999</v>
      </c>
      <c r="O215">
        <v>20</v>
      </c>
      <c r="P215">
        <v>-5</v>
      </c>
      <c r="Q215">
        <v>25</v>
      </c>
      <c r="R215">
        <v>-6140</v>
      </c>
      <c r="S215">
        <v>2092.5</v>
      </c>
      <c r="T215">
        <v>0</v>
      </c>
      <c r="U215">
        <v>0</v>
      </c>
      <c r="V215" t="s">
        <v>34</v>
      </c>
      <c r="W215">
        <v>-6140</v>
      </c>
      <c r="X215">
        <v>2092.5</v>
      </c>
      <c r="Y215">
        <v>0</v>
      </c>
      <c r="Z215">
        <v>1.5870058999999999E-2</v>
      </c>
      <c r="AA215">
        <v>8232.5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8232.5</v>
      </c>
      <c r="AH215">
        <f t="shared" si="3"/>
        <v>0</v>
      </c>
    </row>
    <row r="216" spans="1:34" x14ac:dyDescent="0.25">
      <c r="A216" s="1">
        <v>43795</v>
      </c>
      <c r="B216">
        <v>307</v>
      </c>
      <c r="C216">
        <v>0</v>
      </c>
      <c r="D216">
        <v>420</v>
      </c>
      <c r="E216">
        <v>3.584229E-3</v>
      </c>
      <c r="F216">
        <v>-3.584229E-3</v>
      </c>
      <c r="G216">
        <v>3.584229E-3</v>
      </c>
      <c r="H216">
        <v>3.083747E-3</v>
      </c>
      <c r="I216">
        <v>1.5870591999999999E-2</v>
      </c>
      <c r="J216">
        <v>0</v>
      </c>
      <c r="K216">
        <v>1</v>
      </c>
      <c r="L216">
        <v>0</v>
      </c>
      <c r="M216">
        <v>5</v>
      </c>
      <c r="N216" t="s">
        <v>36</v>
      </c>
      <c r="O216">
        <v>-20</v>
      </c>
      <c r="P216">
        <v>5</v>
      </c>
      <c r="Q216">
        <v>25</v>
      </c>
      <c r="R216">
        <v>6140</v>
      </c>
      <c r="S216">
        <v>-2100</v>
      </c>
      <c r="T216">
        <v>0</v>
      </c>
      <c r="U216">
        <v>-7.5</v>
      </c>
      <c r="V216" t="s">
        <v>37</v>
      </c>
      <c r="W216">
        <v>0</v>
      </c>
      <c r="X216">
        <v>0</v>
      </c>
      <c r="Y216">
        <v>0</v>
      </c>
      <c r="Z216">
        <v>1.5870591999999999E-2</v>
      </c>
      <c r="AA216">
        <v>8240</v>
      </c>
      <c r="AB216">
        <v>0</v>
      </c>
      <c r="AC216">
        <v>-7.5</v>
      </c>
      <c r="AD216">
        <v>-9.1019400000000002E-4</v>
      </c>
      <c r="AE216">
        <v>0</v>
      </c>
      <c r="AF216">
        <v>0</v>
      </c>
      <c r="AG216">
        <v>0</v>
      </c>
      <c r="AH216">
        <f t="shared" si="3"/>
        <v>0</v>
      </c>
    </row>
    <row r="217" spans="1:34" x14ac:dyDescent="0.25">
      <c r="A217" s="1">
        <v>43796</v>
      </c>
      <c r="B217">
        <v>311</v>
      </c>
      <c r="C217">
        <v>1.3029316000000001E-2</v>
      </c>
      <c r="D217">
        <v>422.5</v>
      </c>
      <c r="E217">
        <v>5.9523809999999996E-3</v>
      </c>
      <c r="F217">
        <v>7.0769350000000003E-3</v>
      </c>
      <c r="G217">
        <v>7.0769350000000003E-3</v>
      </c>
      <c r="H217">
        <v>8.7218799999999996E-3</v>
      </c>
      <c r="I217">
        <v>1.3500586E-2</v>
      </c>
      <c r="J217">
        <v>1</v>
      </c>
      <c r="K217">
        <v>0</v>
      </c>
      <c r="L217">
        <v>-1</v>
      </c>
      <c r="M217">
        <v>5</v>
      </c>
      <c r="N217">
        <v>0.62063380400000001</v>
      </c>
      <c r="O217">
        <v>-20</v>
      </c>
      <c r="P217">
        <v>5</v>
      </c>
      <c r="Q217">
        <v>25</v>
      </c>
      <c r="R217">
        <v>6220</v>
      </c>
      <c r="S217">
        <v>-2112.5</v>
      </c>
      <c r="T217">
        <v>80</v>
      </c>
      <c r="U217">
        <v>-20</v>
      </c>
      <c r="V217" t="s">
        <v>35</v>
      </c>
      <c r="W217">
        <v>6220</v>
      </c>
      <c r="X217">
        <v>-2112.5</v>
      </c>
      <c r="Y217">
        <v>60</v>
      </c>
      <c r="Z217">
        <v>1.3500586E-2</v>
      </c>
      <c r="AA217">
        <v>8332.5</v>
      </c>
      <c r="AB217">
        <v>0</v>
      </c>
      <c r="AC217">
        <v>60</v>
      </c>
      <c r="AD217">
        <v>7.2007199999999999E-3</v>
      </c>
      <c r="AE217">
        <v>0</v>
      </c>
      <c r="AF217">
        <v>60</v>
      </c>
      <c r="AG217">
        <v>0</v>
      </c>
      <c r="AH217">
        <f t="shared" si="3"/>
        <v>7.2007200720072004E-3</v>
      </c>
    </row>
    <row r="218" spans="1:34" x14ac:dyDescent="0.25">
      <c r="A218" s="1">
        <v>43797</v>
      </c>
      <c r="B218">
        <v>309.5</v>
      </c>
      <c r="C218">
        <v>-4.8231510000000003E-3</v>
      </c>
      <c r="D218">
        <v>431.5</v>
      </c>
      <c r="E218">
        <v>2.1301774999999998E-2</v>
      </c>
      <c r="F218">
        <v>-2.6124926E-2</v>
      </c>
      <c r="G218">
        <v>2.6124926E-2</v>
      </c>
      <c r="H218">
        <v>8.2441240000000002E-3</v>
      </c>
      <c r="I218">
        <v>7.7046010000000002E-3</v>
      </c>
      <c r="J218">
        <v>0</v>
      </c>
      <c r="K218">
        <v>1</v>
      </c>
      <c r="L218">
        <v>1</v>
      </c>
      <c r="M218">
        <v>5</v>
      </c>
      <c r="N218">
        <v>6.1575092490000003</v>
      </c>
      <c r="O218">
        <v>31</v>
      </c>
      <c r="P218">
        <v>-5</v>
      </c>
      <c r="Q218">
        <v>36</v>
      </c>
      <c r="R218">
        <v>-9594.5</v>
      </c>
      <c r="S218">
        <v>2157.5</v>
      </c>
      <c r="T218">
        <v>0</v>
      </c>
      <c r="U218">
        <v>0</v>
      </c>
      <c r="V218" t="s">
        <v>34</v>
      </c>
      <c r="W218">
        <v>-9594.5</v>
      </c>
      <c r="X218">
        <v>2157.5</v>
      </c>
      <c r="Y218">
        <v>0</v>
      </c>
      <c r="Z218">
        <v>8.2441240000000002E-3</v>
      </c>
      <c r="AA218">
        <v>11752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11752</v>
      </c>
      <c r="AH218">
        <f t="shared" si="3"/>
        <v>0</v>
      </c>
    </row>
    <row r="219" spans="1:34" x14ac:dyDescent="0.25">
      <c r="A219" s="1">
        <v>43798</v>
      </c>
      <c r="B219">
        <v>305</v>
      </c>
      <c r="C219">
        <v>-1.453958E-2</v>
      </c>
      <c r="D219">
        <v>421.5</v>
      </c>
      <c r="E219">
        <v>-2.3174970999999999E-2</v>
      </c>
      <c r="F219">
        <v>8.6353909999999992E-3</v>
      </c>
      <c r="G219">
        <v>8.6353909999999992E-3</v>
      </c>
      <c r="H219">
        <v>1.0167597E-2</v>
      </c>
      <c r="I219">
        <v>1.7591448999999999E-2</v>
      </c>
      <c r="J219">
        <v>1</v>
      </c>
      <c r="K219">
        <v>0</v>
      </c>
      <c r="L219">
        <v>-1</v>
      </c>
      <c r="M219">
        <v>5</v>
      </c>
      <c r="N219">
        <v>2.2027493370000002</v>
      </c>
      <c r="O219">
        <v>-31</v>
      </c>
      <c r="P219">
        <v>5</v>
      </c>
      <c r="Q219">
        <v>36</v>
      </c>
      <c r="R219">
        <v>9455</v>
      </c>
      <c r="S219">
        <v>-2107.5</v>
      </c>
      <c r="T219">
        <v>-139.5</v>
      </c>
      <c r="U219">
        <v>50</v>
      </c>
      <c r="V219" t="s">
        <v>35</v>
      </c>
      <c r="W219">
        <v>9455</v>
      </c>
      <c r="X219">
        <v>-2107.5</v>
      </c>
      <c r="Y219">
        <v>-89.5</v>
      </c>
      <c r="Z219">
        <v>1.7591448999999999E-2</v>
      </c>
      <c r="AA219">
        <v>11562.5</v>
      </c>
      <c r="AB219">
        <v>0</v>
      </c>
      <c r="AC219">
        <v>-89.5</v>
      </c>
      <c r="AD219">
        <v>-7.7405410000000001E-3</v>
      </c>
      <c r="AE219">
        <v>0</v>
      </c>
      <c r="AF219">
        <v>-89.5</v>
      </c>
      <c r="AG219">
        <v>0</v>
      </c>
      <c r="AH219">
        <f t="shared" si="3"/>
        <v>-7.7405405405405409E-3</v>
      </c>
    </row>
    <row r="220" spans="1:34" x14ac:dyDescent="0.25">
      <c r="A220" s="1">
        <v>43801</v>
      </c>
      <c r="B220">
        <v>307.5</v>
      </c>
      <c r="C220">
        <v>8.1967210000000006E-3</v>
      </c>
      <c r="D220">
        <v>416.5</v>
      </c>
      <c r="E220">
        <v>-1.1862396000000001E-2</v>
      </c>
      <c r="F220">
        <v>2.0059118000000001E-2</v>
      </c>
      <c r="G220">
        <v>2.0059118000000001E-2</v>
      </c>
      <c r="H220">
        <v>1.0850312000000001E-2</v>
      </c>
      <c r="I220">
        <v>1.7148706999999999E-2</v>
      </c>
      <c r="J220">
        <v>1</v>
      </c>
      <c r="K220">
        <v>1</v>
      </c>
      <c r="L220">
        <v>1</v>
      </c>
      <c r="M220">
        <v>5</v>
      </c>
      <c r="N220">
        <v>1.9602079290000001</v>
      </c>
      <c r="O220">
        <v>-10</v>
      </c>
      <c r="P220">
        <v>5</v>
      </c>
      <c r="Q220">
        <v>15</v>
      </c>
      <c r="R220">
        <v>3075</v>
      </c>
      <c r="S220">
        <v>-2082.5</v>
      </c>
      <c r="T220">
        <v>0</v>
      </c>
      <c r="U220">
        <v>0</v>
      </c>
      <c r="V220" t="s">
        <v>34</v>
      </c>
      <c r="W220">
        <v>3075</v>
      </c>
      <c r="X220">
        <v>-2082.5</v>
      </c>
      <c r="Y220">
        <v>0</v>
      </c>
      <c r="Z220">
        <v>1.7148706999999999E-2</v>
      </c>
      <c r="AA220">
        <v>5157.5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5157.5</v>
      </c>
      <c r="AH220">
        <f t="shared" si="3"/>
        <v>0</v>
      </c>
    </row>
    <row r="221" spans="1:34" x14ac:dyDescent="0.25">
      <c r="A221" s="1">
        <v>43802</v>
      </c>
      <c r="B221">
        <v>307</v>
      </c>
      <c r="C221">
        <v>-1.6260160000000001E-3</v>
      </c>
      <c r="D221">
        <v>418</v>
      </c>
      <c r="E221">
        <v>3.6014409999999999E-3</v>
      </c>
      <c r="F221">
        <v>-5.2274569999999996E-3</v>
      </c>
      <c r="G221">
        <v>5.2274569999999996E-3</v>
      </c>
      <c r="H221">
        <v>1.0888574E-2</v>
      </c>
      <c r="I221">
        <v>1.7149819E-2</v>
      </c>
      <c r="J221">
        <v>0</v>
      </c>
      <c r="K221">
        <v>0</v>
      </c>
      <c r="L221">
        <v>-1</v>
      </c>
      <c r="M221">
        <v>5</v>
      </c>
      <c r="N221">
        <v>3.0157079119999999</v>
      </c>
      <c r="O221">
        <v>10</v>
      </c>
      <c r="P221">
        <v>-5</v>
      </c>
      <c r="Q221">
        <v>15</v>
      </c>
      <c r="R221">
        <v>-3070</v>
      </c>
      <c r="S221">
        <v>2090</v>
      </c>
      <c r="T221">
        <v>5</v>
      </c>
      <c r="U221">
        <v>7.5</v>
      </c>
      <c r="V221" t="s">
        <v>35</v>
      </c>
      <c r="W221">
        <v>-3070</v>
      </c>
      <c r="X221">
        <v>2090</v>
      </c>
      <c r="Y221">
        <v>12.5</v>
      </c>
      <c r="Z221">
        <v>1.7149819E-2</v>
      </c>
      <c r="AA221">
        <v>5160</v>
      </c>
      <c r="AB221">
        <v>0</v>
      </c>
      <c r="AC221">
        <v>12.5</v>
      </c>
      <c r="AD221">
        <v>2.4224810000000002E-3</v>
      </c>
      <c r="AE221">
        <v>0</v>
      </c>
      <c r="AF221">
        <v>12.5</v>
      </c>
      <c r="AG221">
        <v>0</v>
      </c>
      <c r="AH221">
        <f t="shared" si="3"/>
        <v>2.4224806201550387E-3</v>
      </c>
    </row>
    <row r="222" spans="1:34" x14ac:dyDescent="0.25">
      <c r="A222" s="1">
        <v>43803</v>
      </c>
      <c r="B222">
        <v>306</v>
      </c>
      <c r="C222">
        <v>-3.2573290000000002E-3</v>
      </c>
      <c r="D222">
        <v>424.5</v>
      </c>
      <c r="E222">
        <v>1.5550239E-2</v>
      </c>
      <c r="F222">
        <v>-1.8807568E-2</v>
      </c>
      <c r="G222">
        <v>1.8807568E-2</v>
      </c>
      <c r="H222">
        <v>8.1176689999999992E-3</v>
      </c>
      <c r="I222">
        <v>1.8577370999999999E-2</v>
      </c>
      <c r="J222">
        <v>0</v>
      </c>
      <c r="K222">
        <v>1</v>
      </c>
      <c r="L222">
        <v>1</v>
      </c>
      <c r="M222">
        <v>5</v>
      </c>
      <c r="N222">
        <v>6.6226487010000001</v>
      </c>
      <c r="O222">
        <v>34</v>
      </c>
      <c r="P222">
        <v>-5</v>
      </c>
      <c r="Q222">
        <v>39</v>
      </c>
      <c r="R222">
        <v>-10404</v>
      </c>
      <c r="S222">
        <v>2122.5</v>
      </c>
      <c r="T222">
        <v>0</v>
      </c>
      <c r="U222">
        <v>0</v>
      </c>
      <c r="V222" t="s">
        <v>34</v>
      </c>
      <c r="W222">
        <v>-10404</v>
      </c>
      <c r="X222">
        <v>2122.5</v>
      </c>
      <c r="Y222">
        <v>0</v>
      </c>
      <c r="Z222">
        <v>1.8577370999999999E-2</v>
      </c>
      <c r="AA222">
        <v>12526.5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12526.5</v>
      </c>
      <c r="AH222">
        <f t="shared" si="3"/>
        <v>0</v>
      </c>
    </row>
    <row r="223" spans="1:34" x14ac:dyDescent="0.25">
      <c r="A223" s="1">
        <v>43804</v>
      </c>
      <c r="B223">
        <v>312</v>
      </c>
      <c r="C223">
        <v>1.9607843E-2</v>
      </c>
      <c r="D223">
        <v>420</v>
      </c>
      <c r="E223">
        <v>-1.0600706999999999E-2</v>
      </c>
      <c r="F223">
        <v>3.0208550000000001E-2</v>
      </c>
      <c r="G223">
        <v>3.0208550000000001E-2</v>
      </c>
      <c r="H223">
        <v>1.2867175999999999E-2</v>
      </c>
      <c r="I223">
        <v>1.5038660000000001E-2</v>
      </c>
      <c r="J223">
        <v>1</v>
      </c>
      <c r="K223">
        <v>0</v>
      </c>
      <c r="L223">
        <v>-1</v>
      </c>
      <c r="M223">
        <v>5</v>
      </c>
      <c r="N223">
        <v>0.72777928800000002</v>
      </c>
      <c r="O223">
        <v>-34</v>
      </c>
      <c r="P223">
        <v>5</v>
      </c>
      <c r="Q223">
        <v>39</v>
      </c>
      <c r="R223">
        <v>10608</v>
      </c>
      <c r="S223">
        <v>-2100</v>
      </c>
      <c r="T223">
        <v>204</v>
      </c>
      <c r="U223">
        <v>22.5</v>
      </c>
      <c r="V223" t="s">
        <v>35</v>
      </c>
      <c r="W223">
        <v>10608</v>
      </c>
      <c r="X223">
        <v>-2100</v>
      </c>
      <c r="Y223">
        <v>226.5</v>
      </c>
      <c r="Z223">
        <v>1.5038660000000001E-2</v>
      </c>
      <c r="AA223">
        <v>12708</v>
      </c>
      <c r="AB223">
        <v>0</v>
      </c>
      <c r="AC223">
        <v>226.5</v>
      </c>
      <c r="AD223">
        <v>1.7823418000000001E-2</v>
      </c>
      <c r="AE223">
        <v>0</v>
      </c>
      <c r="AF223">
        <v>226.5</v>
      </c>
      <c r="AG223">
        <v>0</v>
      </c>
      <c r="AH223">
        <f t="shared" si="3"/>
        <v>1.7823418319169029E-2</v>
      </c>
    </row>
    <row r="224" spans="1:34" x14ac:dyDescent="0.25">
      <c r="A224" s="1">
        <v>43805</v>
      </c>
      <c r="B224">
        <v>313</v>
      </c>
      <c r="C224">
        <v>3.2051279999999998E-3</v>
      </c>
      <c r="D224">
        <v>415</v>
      </c>
      <c r="E224">
        <v>-1.1904761999999999E-2</v>
      </c>
      <c r="F224">
        <v>1.5109890000000001E-2</v>
      </c>
      <c r="G224">
        <v>1.5109890000000001E-2</v>
      </c>
      <c r="H224">
        <v>9.2014060000000005E-3</v>
      </c>
      <c r="I224">
        <v>1.2280967E-2</v>
      </c>
      <c r="J224">
        <v>1</v>
      </c>
      <c r="K224">
        <v>1</v>
      </c>
      <c r="L224">
        <v>1</v>
      </c>
      <c r="M224">
        <v>5</v>
      </c>
      <c r="N224">
        <v>4.924691921</v>
      </c>
      <c r="O224">
        <v>-25</v>
      </c>
      <c r="P224">
        <v>5</v>
      </c>
      <c r="Q224">
        <v>30</v>
      </c>
      <c r="R224">
        <v>7825</v>
      </c>
      <c r="S224">
        <v>-2075</v>
      </c>
      <c r="T224">
        <v>0</v>
      </c>
      <c r="U224">
        <v>0</v>
      </c>
      <c r="V224" t="s">
        <v>34</v>
      </c>
      <c r="W224">
        <v>7825</v>
      </c>
      <c r="X224">
        <v>-2075</v>
      </c>
      <c r="Y224">
        <v>0</v>
      </c>
      <c r="Z224">
        <v>1.2280967E-2</v>
      </c>
      <c r="AA224">
        <v>9900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9900</v>
      </c>
      <c r="AH224">
        <f t="shared" si="3"/>
        <v>0</v>
      </c>
    </row>
    <row r="225" spans="1:34" x14ac:dyDescent="0.25">
      <c r="A225" s="1">
        <v>43808</v>
      </c>
      <c r="B225">
        <v>316</v>
      </c>
      <c r="C225">
        <v>9.5846649999999992E-3</v>
      </c>
      <c r="D225">
        <v>426.5</v>
      </c>
      <c r="E225">
        <v>2.7710842999999999E-2</v>
      </c>
      <c r="F225">
        <v>-1.8126178999999999E-2</v>
      </c>
      <c r="G225">
        <v>1.8126178999999999E-2</v>
      </c>
      <c r="H225">
        <v>9.3334479999999994E-3</v>
      </c>
      <c r="I225">
        <v>1.7015553999999999E-2</v>
      </c>
      <c r="J225">
        <v>0</v>
      </c>
      <c r="K225">
        <v>0</v>
      </c>
      <c r="L225">
        <v>-1</v>
      </c>
      <c r="M225">
        <v>5</v>
      </c>
      <c r="N225">
        <v>3.9021573639999998</v>
      </c>
      <c r="O225">
        <v>25</v>
      </c>
      <c r="P225">
        <v>-5</v>
      </c>
      <c r="Q225">
        <v>30</v>
      </c>
      <c r="R225">
        <v>-7900</v>
      </c>
      <c r="S225">
        <v>2132.5</v>
      </c>
      <c r="T225">
        <v>-75</v>
      </c>
      <c r="U225">
        <v>57.5</v>
      </c>
      <c r="V225" t="s">
        <v>35</v>
      </c>
      <c r="W225">
        <v>-7900</v>
      </c>
      <c r="X225">
        <v>2132.5</v>
      </c>
      <c r="Y225">
        <v>-17.5</v>
      </c>
      <c r="Z225">
        <v>1.7015553999999999E-2</v>
      </c>
      <c r="AA225">
        <v>10032.5</v>
      </c>
      <c r="AB225">
        <v>0</v>
      </c>
      <c r="AC225">
        <v>-17.5</v>
      </c>
      <c r="AD225">
        <v>-1.744331E-3</v>
      </c>
      <c r="AE225">
        <v>0</v>
      </c>
      <c r="AF225">
        <v>-17.5</v>
      </c>
      <c r="AG225">
        <v>0</v>
      </c>
      <c r="AH225">
        <f t="shared" si="3"/>
        <v>-1.7443309244953901E-3</v>
      </c>
    </row>
    <row r="226" spans="1:34" x14ac:dyDescent="0.25">
      <c r="A226" s="1">
        <v>43809</v>
      </c>
      <c r="B226">
        <v>313.5</v>
      </c>
      <c r="C226">
        <v>-7.9113919999999997E-3</v>
      </c>
      <c r="D226">
        <v>425</v>
      </c>
      <c r="E226">
        <v>-3.5169989999999998E-3</v>
      </c>
      <c r="F226">
        <v>-4.3943940000000003E-3</v>
      </c>
      <c r="G226">
        <v>4.3943940000000003E-3</v>
      </c>
      <c r="H226">
        <v>1.0835971999999999E-2</v>
      </c>
      <c r="I226">
        <v>1.7440859999999999E-2</v>
      </c>
      <c r="J226">
        <v>0</v>
      </c>
      <c r="K226">
        <v>0</v>
      </c>
      <c r="L226">
        <v>0</v>
      </c>
      <c r="M226">
        <v>5</v>
      </c>
      <c r="N226">
        <v>0.60265766200000004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W226">
        <v>0</v>
      </c>
      <c r="X226">
        <v>0</v>
      </c>
      <c r="Y226">
        <v>0</v>
      </c>
      <c r="Z226">
        <v>1.7440859999999999E-2</v>
      </c>
      <c r="AA226">
        <v>0</v>
      </c>
      <c r="AB226" t="s">
        <v>33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f t="shared" si="3"/>
        <v>0</v>
      </c>
    </row>
    <row r="227" spans="1:34" x14ac:dyDescent="0.25">
      <c r="A227" s="1">
        <v>43810</v>
      </c>
      <c r="B227">
        <v>319</v>
      </c>
      <c r="C227">
        <v>1.7543860000000001E-2</v>
      </c>
      <c r="D227">
        <v>429</v>
      </c>
      <c r="E227">
        <v>9.4117650000000008E-3</v>
      </c>
      <c r="F227">
        <v>8.1320950000000006E-3</v>
      </c>
      <c r="G227">
        <v>8.1320950000000006E-3</v>
      </c>
      <c r="H227">
        <v>1.1221379E-2</v>
      </c>
      <c r="I227">
        <v>1.6570283000000002E-2</v>
      </c>
      <c r="J227">
        <v>1</v>
      </c>
      <c r="K227">
        <v>0</v>
      </c>
      <c r="L227">
        <v>0</v>
      </c>
      <c r="M227">
        <v>5</v>
      </c>
      <c r="N227">
        <v>0.72146044600000003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W227">
        <v>0</v>
      </c>
      <c r="X227">
        <v>0</v>
      </c>
      <c r="Y227">
        <v>0</v>
      </c>
      <c r="Z227">
        <v>1.6570283000000002E-2</v>
      </c>
      <c r="AA227">
        <v>0</v>
      </c>
      <c r="AB227" t="s">
        <v>33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f t="shared" si="3"/>
        <v>0</v>
      </c>
    </row>
    <row r="228" spans="1:34" x14ac:dyDescent="0.25">
      <c r="A228" s="1">
        <v>43811</v>
      </c>
      <c r="B228">
        <v>331.5</v>
      </c>
      <c r="C228">
        <v>3.9184953000000002E-2</v>
      </c>
      <c r="D228">
        <v>427.5</v>
      </c>
      <c r="E228">
        <v>-3.4965030000000002E-3</v>
      </c>
      <c r="F228">
        <v>4.2681456E-2</v>
      </c>
      <c r="G228">
        <v>4.2681456E-2</v>
      </c>
      <c r="H228">
        <v>1.7669794999999999E-2</v>
      </c>
      <c r="I228">
        <v>1.5463754E-2</v>
      </c>
      <c r="J228">
        <v>1</v>
      </c>
      <c r="K228">
        <v>1</v>
      </c>
      <c r="L228">
        <v>1</v>
      </c>
      <c r="M228">
        <v>5</v>
      </c>
      <c r="N228">
        <v>0.115071354</v>
      </c>
      <c r="O228">
        <v>-1</v>
      </c>
      <c r="P228">
        <v>5</v>
      </c>
      <c r="Q228">
        <v>6</v>
      </c>
      <c r="R228">
        <v>331.5</v>
      </c>
      <c r="S228">
        <v>-2137.5</v>
      </c>
      <c r="T228">
        <v>0</v>
      </c>
      <c r="U228">
        <v>0</v>
      </c>
      <c r="V228" t="s">
        <v>34</v>
      </c>
      <c r="W228">
        <v>331.5</v>
      </c>
      <c r="X228">
        <v>-2137.5</v>
      </c>
      <c r="Y228">
        <v>0</v>
      </c>
      <c r="Z228">
        <v>1.7669794999999999E-2</v>
      </c>
      <c r="AA228">
        <v>2469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2469</v>
      </c>
      <c r="AH228">
        <f t="shared" si="3"/>
        <v>0</v>
      </c>
    </row>
    <row r="229" spans="1:34" x14ac:dyDescent="0.25">
      <c r="A229" s="1">
        <v>43812</v>
      </c>
      <c r="B229">
        <v>339</v>
      </c>
      <c r="C229">
        <v>2.2624433999999999E-2</v>
      </c>
      <c r="D229">
        <v>432.5</v>
      </c>
      <c r="E229">
        <v>1.1695906000000001E-2</v>
      </c>
      <c r="F229">
        <v>1.0928528E-2</v>
      </c>
      <c r="G229">
        <v>1.0928528E-2</v>
      </c>
      <c r="H229">
        <v>1.7295297000000001E-2</v>
      </c>
      <c r="I229">
        <v>1.2926033999999999E-2</v>
      </c>
      <c r="J229">
        <v>1</v>
      </c>
      <c r="K229">
        <v>1</v>
      </c>
      <c r="L229">
        <v>0</v>
      </c>
      <c r="M229">
        <v>5</v>
      </c>
      <c r="N229">
        <v>0.65954216899999996</v>
      </c>
      <c r="O229">
        <v>1</v>
      </c>
      <c r="P229">
        <v>-5</v>
      </c>
      <c r="Q229">
        <v>6</v>
      </c>
      <c r="R229">
        <v>-339</v>
      </c>
      <c r="S229">
        <v>2162.5</v>
      </c>
      <c r="T229">
        <v>-7.5</v>
      </c>
      <c r="U229">
        <v>25</v>
      </c>
      <c r="V229" t="s">
        <v>37</v>
      </c>
      <c r="W229">
        <v>0</v>
      </c>
      <c r="X229">
        <v>0</v>
      </c>
      <c r="Y229">
        <v>0</v>
      </c>
      <c r="Z229">
        <v>1.7295297000000001E-2</v>
      </c>
      <c r="AA229">
        <v>2501.5</v>
      </c>
      <c r="AB229">
        <v>0</v>
      </c>
      <c r="AC229">
        <v>17.5</v>
      </c>
      <c r="AD229">
        <v>6.9958030000000001E-3</v>
      </c>
      <c r="AE229">
        <v>0</v>
      </c>
      <c r="AF229">
        <v>0</v>
      </c>
      <c r="AG229">
        <v>0</v>
      </c>
      <c r="AH229">
        <f t="shared" si="3"/>
        <v>0</v>
      </c>
    </row>
    <row r="230" spans="1:34" x14ac:dyDescent="0.25">
      <c r="A230" s="1">
        <v>43815</v>
      </c>
      <c r="B230">
        <v>336</v>
      </c>
      <c r="C230">
        <v>-8.8495580000000004E-3</v>
      </c>
      <c r="D230">
        <v>442</v>
      </c>
      <c r="E230">
        <v>2.1965318000000001E-2</v>
      </c>
      <c r="F230">
        <v>-3.0814874999999999E-2</v>
      </c>
      <c r="G230">
        <v>3.0814874999999999E-2</v>
      </c>
      <c r="H230">
        <v>2.0690929E-2</v>
      </c>
      <c r="I230">
        <v>1.0867247E-2</v>
      </c>
      <c r="J230">
        <v>0</v>
      </c>
      <c r="K230">
        <v>0</v>
      </c>
      <c r="L230">
        <v>-1</v>
      </c>
      <c r="M230">
        <v>5</v>
      </c>
      <c r="N230">
        <v>3.2651183590000001</v>
      </c>
      <c r="O230">
        <v>1</v>
      </c>
      <c r="P230">
        <v>-5</v>
      </c>
      <c r="Q230">
        <v>6</v>
      </c>
      <c r="R230">
        <v>-336</v>
      </c>
      <c r="S230">
        <v>2210</v>
      </c>
      <c r="T230">
        <v>-4.5</v>
      </c>
      <c r="U230">
        <v>72.5</v>
      </c>
      <c r="V230" t="s">
        <v>35</v>
      </c>
      <c r="W230">
        <v>-336</v>
      </c>
      <c r="X230">
        <v>2210</v>
      </c>
      <c r="Y230">
        <v>68</v>
      </c>
      <c r="Z230">
        <v>2.0690929E-2</v>
      </c>
      <c r="AA230">
        <v>2546</v>
      </c>
      <c r="AB230">
        <v>0</v>
      </c>
      <c r="AC230">
        <v>68</v>
      </c>
      <c r="AD230">
        <v>2.6708562000000002E-2</v>
      </c>
      <c r="AE230">
        <v>0</v>
      </c>
      <c r="AF230">
        <v>68</v>
      </c>
      <c r="AG230">
        <v>0</v>
      </c>
      <c r="AH230">
        <f t="shared" si="3"/>
        <v>2.6708562450903379E-2</v>
      </c>
    </row>
    <row r="231" spans="1:34" x14ac:dyDescent="0.25">
      <c r="A231" s="1">
        <v>43816</v>
      </c>
      <c r="B231">
        <v>345</v>
      </c>
      <c r="C231">
        <v>2.6785713999999999E-2</v>
      </c>
      <c r="D231">
        <v>460.5</v>
      </c>
      <c r="E231">
        <v>4.1855204E-2</v>
      </c>
      <c r="F231">
        <v>-1.5069489E-2</v>
      </c>
      <c r="G231">
        <v>1.5069489E-2</v>
      </c>
      <c r="H231">
        <v>1.7733134000000001E-2</v>
      </c>
      <c r="I231">
        <v>1.6924172000000001E-2</v>
      </c>
      <c r="J231">
        <v>0</v>
      </c>
      <c r="K231">
        <v>0</v>
      </c>
      <c r="L231">
        <v>0</v>
      </c>
      <c r="M231">
        <v>5</v>
      </c>
      <c r="N231">
        <v>2.0857236540000001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W231">
        <v>0</v>
      </c>
      <c r="X231">
        <v>0</v>
      </c>
      <c r="Y231">
        <v>0</v>
      </c>
      <c r="Z231">
        <v>1.7733134000000001E-2</v>
      </c>
      <c r="AA231">
        <v>0</v>
      </c>
      <c r="AB231" t="s">
        <v>33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f t="shared" si="3"/>
        <v>0</v>
      </c>
    </row>
    <row r="232" spans="1:34" x14ac:dyDescent="0.25">
      <c r="A232" s="1">
        <v>43817</v>
      </c>
      <c r="B232">
        <v>344.5</v>
      </c>
      <c r="C232">
        <v>-1.4492750000000001E-3</v>
      </c>
      <c r="D232">
        <v>456.5</v>
      </c>
      <c r="E232">
        <v>-8.6862109999999992E-3</v>
      </c>
      <c r="F232">
        <v>7.2369349999999999E-3</v>
      </c>
      <c r="G232">
        <v>7.2369349999999999E-3</v>
      </c>
      <c r="H232">
        <v>2.0119356000000001E-2</v>
      </c>
      <c r="I232">
        <v>2.0350500000000001E-2</v>
      </c>
      <c r="J232">
        <v>1</v>
      </c>
      <c r="K232">
        <v>0</v>
      </c>
      <c r="L232">
        <v>0</v>
      </c>
      <c r="M232">
        <v>5</v>
      </c>
      <c r="N232">
        <v>7.9420204889999999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W232">
        <v>0</v>
      </c>
      <c r="X232">
        <v>0</v>
      </c>
      <c r="Y232">
        <v>0</v>
      </c>
      <c r="Z232">
        <v>2.0350500000000001E-2</v>
      </c>
      <c r="AA232">
        <v>0</v>
      </c>
      <c r="AB232" t="s">
        <v>33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f t="shared" si="3"/>
        <v>0</v>
      </c>
    </row>
    <row r="233" spans="1:34" x14ac:dyDescent="0.25">
      <c r="A233" s="1">
        <v>43818</v>
      </c>
      <c r="B233">
        <v>335</v>
      </c>
      <c r="C233">
        <v>-2.7576197E-2</v>
      </c>
      <c r="D233">
        <v>454.5</v>
      </c>
      <c r="E233">
        <v>-4.3811609999999997E-3</v>
      </c>
      <c r="F233">
        <v>-2.3195035999999999E-2</v>
      </c>
      <c r="G233">
        <v>2.3195035999999999E-2</v>
      </c>
      <c r="H233">
        <v>2.2603038999999998E-2</v>
      </c>
      <c r="I233">
        <v>2.0529219000000001E-2</v>
      </c>
      <c r="J233">
        <v>0</v>
      </c>
      <c r="K233">
        <v>1</v>
      </c>
      <c r="L233">
        <v>1</v>
      </c>
      <c r="M233">
        <v>5</v>
      </c>
      <c r="N233">
        <v>0.21554795900000001</v>
      </c>
      <c r="O233">
        <v>2</v>
      </c>
      <c r="P233">
        <v>-5</v>
      </c>
      <c r="Q233">
        <v>7</v>
      </c>
      <c r="R233">
        <v>-670</v>
      </c>
      <c r="S233">
        <v>2272.5</v>
      </c>
      <c r="T233">
        <v>0</v>
      </c>
      <c r="U233">
        <v>0</v>
      </c>
      <c r="V233" t="s">
        <v>34</v>
      </c>
      <c r="W233">
        <v>-670</v>
      </c>
      <c r="X233">
        <v>2272.5</v>
      </c>
      <c r="Y233">
        <v>0</v>
      </c>
      <c r="Z233">
        <v>2.2603038999999998E-2</v>
      </c>
      <c r="AA233">
        <v>2942.5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2942.5</v>
      </c>
      <c r="AH233">
        <f t="shared" si="3"/>
        <v>0</v>
      </c>
    </row>
    <row r="234" spans="1:34" x14ac:dyDescent="0.25">
      <c r="A234" s="1">
        <v>43819</v>
      </c>
      <c r="B234">
        <v>329</v>
      </c>
      <c r="C234">
        <v>-1.7910447999999999E-2</v>
      </c>
      <c r="D234">
        <v>446</v>
      </c>
      <c r="E234">
        <v>-1.8701869999999999E-2</v>
      </c>
      <c r="F234">
        <v>7.9142199999999996E-4</v>
      </c>
      <c r="G234">
        <v>7.9142199999999996E-4</v>
      </c>
      <c r="H234">
        <v>2.0681653000000001E-2</v>
      </c>
      <c r="I234">
        <v>2.4866046999999999E-2</v>
      </c>
      <c r="J234">
        <v>1</v>
      </c>
      <c r="K234">
        <v>0</v>
      </c>
      <c r="L234">
        <v>-1</v>
      </c>
      <c r="M234">
        <v>5</v>
      </c>
      <c r="N234">
        <v>1.415525038</v>
      </c>
      <c r="O234">
        <v>-2</v>
      </c>
      <c r="P234">
        <v>5</v>
      </c>
      <c r="Q234">
        <v>7</v>
      </c>
      <c r="R234">
        <v>658</v>
      </c>
      <c r="S234">
        <v>-2230</v>
      </c>
      <c r="T234">
        <v>-12</v>
      </c>
      <c r="U234">
        <v>42.5</v>
      </c>
      <c r="V234" t="s">
        <v>35</v>
      </c>
      <c r="W234">
        <v>658</v>
      </c>
      <c r="X234">
        <v>-2230</v>
      </c>
      <c r="Y234">
        <v>30.5</v>
      </c>
      <c r="Z234">
        <v>2.4866046999999999E-2</v>
      </c>
      <c r="AA234">
        <v>2888</v>
      </c>
      <c r="AB234">
        <v>0</v>
      </c>
      <c r="AC234">
        <v>30.5</v>
      </c>
      <c r="AD234">
        <v>1.0560942E-2</v>
      </c>
      <c r="AE234">
        <v>0</v>
      </c>
      <c r="AF234">
        <v>30.5</v>
      </c>
      <c r="AG234">
        <v>0</v>
      </c>
      <c r="AH234">
        <f t="shared" si="3"/>
        <v>1.0560941828254847E-2</v>
      </c>
    </row>
    <row r="235" spans="1:34" x14ac:dyDescent="0.25">
      <c r="A235" s="1">
        <v>43822</v>
      </c>
      <c r="B235">
        <v>334</v>
      </c>
      <c r="C235">
        <v>1.5197568E-2</v>
      </c>
      <c r="D235">
        <v>449</v>
      </c>
      <c r="E235">
        <v>6.7264569999999999E-3</v>
      </c>
      <c r="F235">
        <v>8.4711109999999999E-3</v>
      </c>
      <c r="G235">
        <v>8.4711109999999999E-3</v>
      </c>
      <c r="H235">
        <v>2.2510365000000001E-2</v>
      </c>
      <c r="I235">
        <v>2.3371867000000001E-2</v>
      </c>
      <c r="J235">
        <v>1</v>
      </c>
      <c r="K235">
        <v>0</v>
      </c>
      <c r="L235">
        <v>0</v>
      </c>
      <c r="M235">
        <v>5</v>
      </c>
      <c r="N235">
        <v>0.59499342099999997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W235">
        <v>0</v>
      </c>
      <c r="X235">
        <v>0</v>
      </c>
      <c r="Y235">
        <v>0</v>
      </c>
      <c r="Z235">
        <v>2.3371867000000001E-2</v>
      </c>
      <c r="AA235">
        <v>0</v>
      </c>
      <c r="AB235" t="s">
        <v>33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f t="shared" si="3"/>
        <v>0</v>
      </c>
    </row>
    <row r="236" spans="1:34" x14ac:dyDescent="0.25">
      <c r="A236" s="1">
        <v>43823</v>
      </c>
      <c r="B236">
        <v>332</v>
      </c>
      <c r="C236">
        <v>-5.9880239999999998E-3</v>
      </c>
      <c r="D236">
        <v>445</v>
      </c>
      <c r="E236">
        <v>-8.9086860000000007E-3</v>
      </c>
      <c r="F236">
        <v>2.9206620000000001E-3</v>
      </c>
      <c r="G236">
        <v>2.9206620000000001E-3</v>
      </c>
      <c r="H236">
        <v>1.6320982000000001E-2</v>
      </c>
      <c r="I236">
        <v>9.1988339999999995E-3</v>
      </c>
      <c r="J236">
        <v>1</v>
      </c>
      <c r="K236">
        <v>0</v>
      </c>
      <c r="L236">
        <v>0</v>
      </c>
      <c r="M236">
        <v>5</v>
      </c>
      <c r="N236">
        <v>1.994123487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W236">
        <v>0</v>
      </c>
      <c r="X236">
        <v>0</v>
      </c>
      <c r="Y236">
        <v>0</v>
      </c>
      <c r="Z236">
        <v>1.6320982000000001E-2</v>
      </c>
      <c r="AA236">
        <v>0</v>
      </c>
      <c r="AB236" t="s">
        <v>33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f t="shared" si="3"/>
        <v>0</v>
      </c>
    </row>
    <row r="237" spans="1:34" x14ac:dyDescent="0.25">
      <c r="A237" s="1">
        <v>43824</v>
      </c>
      <c r="B237">
        <v>333</v>
      </c>
      <c r="C237">
        <v>3.0120479999999998E-3</v>
      </c>
      <c r="D237">
        <v>452</v>
      </c>
      <c r="E237">
        <v>1.5730337E-2</v>
      </c>
      <c r="F237">
        <v>-1.2718289000000001E-2</v>
      </c>
      <c r="G237">
        <v>1.2718289000000001E-2</v>
      </c>
      <c r="H237">
        <v>1.6850911999999999E-2</v>
      </c>
      <c r="I237">
        <v>1.3442702000000001E-2</v>
      </c>
      <c r="J237">
        <v>0</v>
      </c>
      <c r="K237">
        <v>0</v>
      </c>
      <c r="L237">
        <v>0</v>
      </c>
      <c r="M237">
        <v>5</v>
      </c>
      <c r="N237">
        <v>7.0887606710000002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W237">
        <v>0</v>
      </c>
      <c r="X237">
        <v>0</v>
      </c>
      <c r="Y237">
        <v>0</v>
      </c>
      <c r="Z237">
        <v>1.6850911999999999E-2</v>
      </c>
      <c r="AA237">
        <v>0</v>
      </c>
      <c r="AB237" t="s">
        <v>33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f t="shared" si="3"/>
        <v>0</v>
      </c>
    </row>
    <row r="238" spans="1:34" x14ac:dyDescent="0.25">
      <c r="A238" s="1">
        <v>43825</v>
      </c>
      <c r="B238">
        <v>333</v>
      </c>
      <c r="C238">
        <v>0</v>
      </c>
      <c r="D238">
        <v>449</v>
      </c>
      <c r="E238">
        <v>-6.6371679999999997E-3</v>
      </c>
      <c r="F238">
        <v>6.6371679999999997E-3</v>
      </c>
      <c r="G238">
        <v>6.6371679999999997E-3</v>
      </c>
      <c r="H238">
        <v>1.2147082999999999E-2</v>
      </c>
      <c r="I238">
        <v>1.3583631000000001E-2</v>
      </c>
      <c r="J238">
        <v>1</v>
      </c>
      <c r="K238">
        <v>0</v>
      </c>
      <c r="L238">
        <v>0</v>
      </c>
      <c r="M238">
        <v>5</v>
      </c>
      <c r="N238" t="s">
        <v>36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W238">
        <v>0</v>
      </c>
      <c r="X238">
        <v>0</v>
      </c>
      <c r="Y238">
        <v>0</v>
      </c>
      <c r="Z238">
        <v>1.3583631000000001E-2</v>
      </c>
      <c r="AA238">
        <v>0</v>
      </c>
      <c r="AB238" t="s">
        <v>33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f t="shared" si="3"/>
        <v>0</v>
      </c>
    </row>
    <row r="239" spans="1:34" x14ac:dyDescent="0.25">
      <c r="A239" s="1">
        <v>43826</v>
      </c>
      <c r="B239">
        <v>338</v>
      </c>
      <c r="C239">
        <v>1.5015015E-2</v>
      </c>
      <c r="D239">
        <v>446.5</v>
      </c>
      <c r="E239">
        <v>-5.5679290000000001E-3</v>
      </c>
      <c r="F239">
        <v>2.0582943999999999E-2</v>
      </c>
      <c r="G239">
        <v>2.0582943999999999E-2</v>
      </c>
      <c r="H239">
        <v>9.3938689999999991E-3</v>
      </c>
      <c r="I239">
        <v>1.0568189E-2</v>
      </c>
      <c r="J239">
        <v>1</v>
      </c>
      <c r="K239">
        <v>1</v>
      </c>
      <c r="L239">
        <v>1</v>
      </c>
      <c r="M239">
        <v>5</v>
      </c>
      <c r="N239">
        <v>0.48986076899999997</v>
      </c>
      <c r="O239">
        <v>-3</v>
      </c>
      <c r="P239">
        <v>5</v>
      </c>
      <c r="Q239">
        <v>8</v>
      </c>
      <c r="R239">
        <v>1014</v>
      </c>
      <c r="S239">
        <v>-2232.5</v>
      </c>
      <c r="T239">
        <v>0</v>
      </c>
      <c r="U239">
        <v>0</v>
      </c>
      <c r="V239" t="s">
        <v>34</v>
      </c>
      <c r="W239">
        <v>1014</v>
      </c>
      <c r="X239">
        <v>-2232.5</v>
      </c>
      <c r="Y239">
        <v>0</v>
      </c>
      <c r="Z239">
        <v>1.0568189E-2</v>
      </c>
      <c r="AA239">
        <v>3246.5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3246.5</v>
      </c>
      <c r="AH239">
        <f t="shared" si="3"/>
        <v>0</v>
      </c>
    </row>
    <row r="240" spans="1:34" x14ac:dyDescent="0.25">
      <c r="A240" s="1">
        <v>43829</v>
      </c>
      <c r="B240">
        <v>334.5</v>
      </c>
      <c r="C240">
        <v>-1.0355029999999999E-2</v>
      </c>
      <c r="D240">
        <v>446.5</v>
      </c>
      <c r="E240">
        <v>0</v>
      </c>
      <c r="F240">
        <v>-1.0355029999999999E-2</v>
      </c>
      <c r="G240">
        <v>1.0355029999999999E-2</v>
      </c>
      <c r="H240">
        <v>9.7087460000000007E-3</v>
      </c>
      <c r="I240">
        <v>9.9506999999999998E-3</v>
      </c>
      <c r="J240">
        <v>0</v>
      </c>
      <c r="K240">
        <v>0</v>
      </c>
      <c r="L240">
        <v>-1</v>
      </c>
      <c r="M240">
        <v>5</v>
      </c>
      <c r="N240">
        <v>0</v>
      </c>
      <c r="O240">
        <v>3</v>
      </c>
      <c r="P240">
        <v>-5</v>
      </c>
      <c r="Q240">
        <v>8</v>
      </c>
      <c r="R240">
        <v>-1003.5</v>
      </c>
      <c r="S240">
        <v>2232.5</v>
      </c>
      <c r="T240">
        <v>10.5</v>
      </c>
      <c r="U240">
        <v>0</v>
      </c>
      <c r="V240" t="s">
        <v>35</v>
      </c>
      <c r="W240">
        <v>-1003.5</v>
      </c>
      <c r="X240">
        <v>2232.5</v>
      </c>
      <c r="Y240">
        <v>10.5</v>
      </c>
      <c r="Z240">
        <v>9.9506999999999998E-3</v>
      </c>
      <c r="AA240">
        <v>3236</v>
      </c>
      <c r="AB240">
        <v>0</v>
      </c>
      <c r="AC240">
        <v>10.5</v>
      </c>
      <c r="AD240">
        <v>3.2447470000000001E-3</v>
      </c>
      <c r="AE240">
        <v>0</v>
      </c>
      <c r="AF240">
        <v>10.5</v>
      </c>
      <c r="AG240">
        <v>0</v>
      </c>
      <c r="AH240">
        <f t="shared" si="3"/>
        <v>3.2447466007416562E-3</v>
      </c>
    </row>
    <row r="241" spans="1:34" x14ac:dyDescent="0.25">
      <c r="A241" s="1">
        <v>43830</v>
      </c>
      <c r="B241">
        <v>331</v>
      </c>
      <c r="C241">
        <v>-1.0463378000000001E-2</v>
      </c>
      <c r="D241">
        <v>443.5</v>
      </c>
      <c r="E241">
        <v>-6.7189249999999997E-3</v>
      </c>
      <c r="F241">
        <v>-3.744453E-3</v>
      </c>
      <c r="G241">
        <v>3.744453E-3</v>
      </c>
      <c r="H241">
        <v>1.0602756E-2</v>
      </c>
      <c r="I241">
        <v>9.5603530000000006E-3</v>
      </c>
      <c r="J241">
        <v>0</v>
      </c>
      <c r="K241">
        <v>0</v>
      </c>
      <c r="L241">
        <v>0</v>
      </c>
      <c r="M241">
        <v>5</v>
      </c>
      <c r="N241">
        <v>0.86038632599999998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W241">
        <v>0</v>
      </c>
      <c r="X241">
        <v>0</v>
      </c>
      <c r="Y241">
        <v>0</v>
      </c>
      <c r="Z241">
        <v>1.0602756E-2</v>
      </c>
      <c r="AA241">
        <v>0</v>
      </c>
      <c r="AB241" t="s">
        <v>33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f t="shared" si="3"/>
        <v>0</v>
      </c>
    </row>
    <row r="242" spans="1:34" x14ac:dyDescent="0.25">
      <c r="A242" s="1">
        <v>43832</v>
      </c>
      <c r="B242">
        <v>339</v>
      </c>
      <c r="C242">
        <v>2.4169184E-2</v>
      </c>
      <c r="D242">
        <v>441.5</v>
      </c>
      <c r="E242">
        <v>-4.5095830000000002E-3</v>
      </c>
      <c r="F242">
        <v>2.8678767000000001E-2</v>
      </c>
      <c r="G242">
        <v>2.8678767000000001E-2</v>
      </c>
      <c r="H242">
        <v>1.5482640000000001E-2</v>
      </c>
      <c r="I242">
        <v>2.7707109999999999E-3</v>
      </c>
      <c r="J242">
        <v>1</v>
      </c>
      <c r="K242">
        <v>1</v>
      </c>
      <c r="L242">
        <v>1</v>
      </c>
      <c r="M242">
        <v>5</v>
      </c>
      <c r="N242">
        <v>0.24299950400000001</v>
      </c>
      <c r="O242">
        <v>-2</v>
      </c>
      <c r="P242">
        <v>5</v>
      </c>
      <c r="Q242">
        <v>7</v>
      </c>
      <c r="R242">
        <v>678</v>
      </c>
      <c r="S242">
        <v>-2207.5</v>
      </c>
      <c r="T242">
        <v>0</v>
      </c>
      <c r="U242">
        <v>0</v>
      </c>
      <c r="V242" t="s">
        <v>34</v>
      </c>
      <c r="W242">
        <v>678</v>
      </c>
      <c r="X242">
        <v>-2207.5</v>
      </c>
      <c r="Y242">
        <v>0</v>
      </c>
      <c r="Z242">
        <v>1.5482640000000001E-2</v>
      </c>
      <c r="AA242">
        <v>2885.5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2885.5</v>
      </c>
      <c r="AH242">
        <f t="shared" si="3"/>
        <v>0</v>
      </c>
    </row>
    <row r="243" spans="1:34" x14ac:dyDescent="0.25">
      <c r="A243" s="1">
        <v>43833</v>
      </c>
      <c r="B243">
        <v>339.5</v>
      </c>
      <c r="C243">
        <v>1.4749260000000001E-3</v>
      </c>
      <c r="D243">
        <v>434.5</v>
      </c>
      <c r="E243">
        <v>-1.5855040000000001E-2</v>
      </c>
      <c r="F243">
        <v>1.7329965999999999E-2</v>
      </c>
      <c r="G243">
        <v>1.7329965999999999E-2</v>
      </c>
      <c r="H243">
        <v>1.5409037E-2</v>
      </c>
      <c r="I243">
        <v>5.8017370000000004E-3</v>
      </c>
      <c r="J243">
        <v>1</v>
      </c>
      <c r="K243">
        <v>1</v>
      </c>
      <c r="L243">
        <v>0</v>
      </c>
      <c r="M243">
        <v>5</v>
      </c>
      <c r="N243">
        <v>13.757737799999999</v>
      </c>
      <c r="O243">
        <v>2</v>
      </c>
      <c r="P243">
        <v>-5</v>
      </c>
      <c r="Q243">
        <v>7</v>
      </c>
      <c r="R243">
        <v>-679</v>
      </c>
      <c r="S243">
        <v>2172.5</v>
      </c>
      <c r="T243">
        <v>-1</v>
      </c>
      <c r="U243">
        <v>-35</v>
      </c>
      <c r="V243" t="s">
        <v>37</v>
      </c>
      <c r="W243">
        <v>0</v>
      </c>
      <c r="X243">
        <v>0</v>
      </c>
      <c r="Y243">
        <v>0</v>
      </c>
      <c r="Z243">
        <v>1.5409037E-2</v>
      </c>
      <c r="AA243">
        <v>2851.5</v>
      </c>
      <c r="AB243">
        <v>0</v>
      </c>
      <c r="AC243">
        <v>-36</v>
      </c>
      <c r="AD243">
        <v>-1.2624934000000001E-2</v>
      </c>
      <c r="AE243">
        <v>0</v>
      </c>
      <c r="AF243">
        <v>0</v>
      </c>
      <c r="AG243">
        <v>0</v>
      </c>
      <c r="AH243">
        <f t="shared" si="3"/>
        <v>0</v>
      </c>
    </row>
    <row r="244" spans="1:34" x14ac:dyDescent="0.25">
      <c r="A244" s="1">
        <v>43836</v>
      </c>
      <c r="B244">
        <v>332</v>
      </c>
      <c r="C244">
        <v>-2.2091310999999999E-2</v>
      </c>
      <c r="D244">
        <v>424</v>
      </c>
      <c r="E244">
        <v>-2.4165708000000001E-2</v>
      </c>
      <c r="F244">
        <v>2.074397E-3</v>
      </c>
      <c r="G244">
        <v>2.074397E-3</v>
      </c>
      <c r="H244">
        <v>1.7545937000000001E-2</v>
      </c>
      <c r="I244">
        <v>9.6895149999999992E-3</v>
      </c>
      <c r="J244">
        <v>1</v>
      </c>
      <c r="K244">
        <v>1</v>
      </c>
      <c r="L244">
        <v>0</v>
      </c>
      <c r="M244">
        <v>5</v>
      </c>
      <c r="N244">
        <v>1.3970302379999999</v>
      </c>
      <c r="O244">
        <v>2</v>
      </c>
      <c r="P244">
        <v>-5</v>
      </c>
      <c r="Q244">
        <v>7</v>
      </c>
      <c r="R244">
        <v>-664</v>
      </c>
      <c r="S244">
        <v>2120</v>
      </c>
      <c r="T244">
        <v>14</v>
      </c>
      <c r="U244">
        <v>-87.5</v>
      </c>
      <c r="V244" t="s">
        <v>37</v>
      </c>
      <c r="W244">
        <v>0</v>
      </c>
      <c r="X244">
        <v>0</v>
      </c>
      <c r="Y244">
        <v>0</v>
      </c>
      <c r="Z244">
        <v>1.7545937000000001E-2</v>
      </c>
      <c r="AA244">
        <v>2784</v>
      </c>
      <c r="AB244">
        <v>0</v>
      </c>
      <c r="AC244">
        <v>-73.5</v>
      </c>
      <c r="AD244">
        <v>-2.6400862000000001E-2</v>
      </c>
      <c r="AE244">
        <v>1</v>
      </c>
      <c r="AF244">
        <v>-73.5</v>
      </c>
      <c r="AG244">
        <v>0</v>
      </c>
      <c r="AH244">
        <f t="shared" si="3"/>
        <v>-2.6400862068965518E-2</v>
      </c>
    </row>
    <row r="245" spans="1:34" x14ac:dyDescent="0.25">
      <c r="A245" s="1">
        <v>43837</v>
      </c>
      <c r="B245">
        <v>329.5</v>
      </c>
      <c r="C245">
        <v>-7.5301200000000004E-3</v>
      </c>
      <c r="D245">
        <v>426</v>
      </c>
      <c r="E245">
        <v>4.7169810000000003E-3</v>
      </c>
      <c r="F245">
        <v>-1.2247101999999999E-2</v>
      </c>
      <c r="G245">
        <v>1.2247101999999999E-2</v>
      </c>
      <c r="H245">
        <v>1.7312055999999999E-2</v>
      </c>
      <c r="I245">
        <v>1.1068461999999999E-2</v>
      </c>
      <c r="J245">
        <v>0</v>
      </c>
      <c r="K245">
        <v>0</v>
      </c>
      <c r="L245">
        <v>-1</v>
      </c>
      <c r="M245">
        <v>5</v>
      </c>
      <c r="N245">
        <v>0.80987201900000005</v>
      </c>
      <c r="O245">
        <v>2</v>
      </c>
      <c r="P245">
        <v>-5</v>
      </c>
      <c r="Q245">
        <v>7</v>
      </c>
      <c r="R245">
        <v>-659</v>
      </c>
      <c r="S245">
        <v>2130</v>
      </c>
      <c r="T245">
        <v>19</v>
      </c>
      <c r="U245">
        <v>-77.5</v>
      </c>
      <c r="V245" t="s">
        <v>35</v>
      </c>
      <c r="W245">
        <v>-659</v>
      </c>
      <c r="X245">
        <v>2130</v>
      </c>
      <c r="Y245">
        <v>-58.5</v>
      </c>
      <c r="Z245">
        <v>1.7312055999999999E-2</v>
      </c>
      <c r="AA245">
        <v>2789</v>
      </c>
      <c r="AB245">
        <v>0</v>
      </c>
      <c r="AC245">
        <v>-58.5</v>
      </c>
      <c r="AD245">
        <v>-2.0975259999999999E-2</v>
      </c>
      <c r="AE245">
        <v>1</v>
      </c>
      <c r="AF245">
        <v>0</v>
      </c>
      <c r="AG245">
        <v>0</v>
      </c>
      <c r="AH245">
        <f t="shared" si="3"/>
        <v>0</v>
      </c>
    </row>
    <row r="246" spans="1:34" x14ac:dyDescent="0.25">
      <c r="A246" s="1">
        <v>43838</v>
      </c>
      <c r="B246">
        <v>329.5</v>
      </c>
      <c r="C246">
        <v>0</v>
      </c>
      <c r="D246">
        <v>430.5</v>
      </c>
      <c r="E246">
        <v>1.0563380000000001E-2</v>
      </c>
      <c r="F246">
        <v>-1.0563380000000001E-2</v>
      </c>
      <c r="G246">
        <v>1.0563380000000001E-2</v>
      </c>
      <c r="H246">
        <v>1.6792035E-2</v>
      </c>
      <c r="I246">
        <v>1.4304045E-2</v>
      </c>
      <c r="J246">
        <v>0</v>
      </c>
      <c r="K246">
        <v>0</v>
      </c>
      <c r="L246">
        <v>0</v>
      </c>
      <c r="M246">
        <v>5</v>
      </c>
      <c r="N246" t="s">
        <v>36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W246">
        <v>0</v>
      </c>
      <c r="X246">
        <v>0</v>
      </c>
      <c r="Y246">
        <v>0</v>
      </c>
      <c r="Z246">
        <v>1.6792035E-2</v>
      </c>
      <c r="AA246">
        <v>0</v>
      </c>
      <c r="AB246" t="s">
        <v>33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f t="shared" si="3"/>
        <v>0</v>
      </c>
    </row>
    <row r="247" spans="1:34" x14ac:dyDescent="0.25">
      <c r="A247" s="1">
        <v>43839</v>
      </c>
      <c r="B247">
        <v>337.5</v>
      </c>
      <c r="C247">
        <v>2.4279210999999998E-2</v>
      </c>
      <c r="D247">
        <v>437</v>
      </c>
      <c r="E247">
        <v>1.5098722E-2</v>
      </c>
      <c r="F247">
        <v>9.180489E-3</v>
      </c>
      <c r="G247">
        <v>9.180489E-3</v>
      </c>
      <c r="H247">
        <v>1.6832950999999999E-2</v>
      </c>
      <c r="I247">
        <v>1.716521E-2</v>
      </c>
      <c r="J247">
        <v>1</v>
      </c>
      <c r="K247">
        <v>0</v>
      </c>
      <c r="L247">
        <v>0</v>
      </c>
      <c r="M247">
        <v>5</v>
      </c>
      <c r="N247">
        <v>0.805217662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W247">
        <v>0</v>
      </c>
      <c r="X247">
        <v>0</v>
      </c>
      <c r="Y247">
        <v>0</v>
      </c>
      <c r="Z247">
        <v>1.716521E-2</v>
      </c>
      <c r="AA247">
        <v>0</v>
      </c>
      <c r="AB247" t="s">
        <v>33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f t="shared" si="3"/>
        <v>0</v>
      </c>
    </row>
    <row r="248" spans="1:34" x14ac:dyDescent="0.25">
      <c r="A248" s="1">
        <v>43840</v>
      </c>
      <c r="B248">
        <v>339.5</v>
      </c>
      <c r="C248">
        <v>5.9259259999999998E-3</v>
      </c>
      <c r="D248">
        <v>432</v>
      </c>
      <c r="E248">
        <v>-1.1441648E-2</v>
      </c>
      <c r="F248">
        <v>1.7367574E-2</v>
      </c>
      <c r="G248">
        <v>1.7367574E-2</v>
      </c>
      <c r="H248">
        <v>1.7097201999999999E-2</v>
      </c>
      <c r="I248">
        <v>1.6364841000000001E-2</v>
      </c>
      <c r="J248">
        <v>1</v>
      </c>
      <c r="K248">
        <v>1</v>
      </c>
      <c r="L248">
        <v>1</v>
      </c>
      <c r="M248">
        <v>5</v>
      </c>
      <c r="N248">
        <v>2.456836848</v>
      </c>
      <c r="O248">
        <v>-13</v>
      </c>
      <c r="P248">
        <v>5</v>
      </c>
      <c r="Q248">
        <v>18</v>
      </c>
      <c r="R248">
        <v>4413.5</v>
      </c>
      <c r="S248">
        <v>-2160</v>
      </c>
      <c r="T248">
        <v>0</v>
      </c>
      <c r="U248">
        <v>0</v>
      </c>
      <c r="V248" t="s">
        <v>34</v>
      </c>
      <c r="W248">
        <v>4413.5</v>
      </c>
      <c r="X248">
        <v>-2160</v>
      </c>
      <c r="Y248">
        <v>0</v>
      </c>
      <c r="Z248">
        <v>1.7097201999999999E-2</v>
      </c>
      <c r="AA248">
        <v>6573.5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6573.5</v>
      </c>
      <c r="AH248">
        <f t="shared" si="3"/>
        <v>0</v>
      </c>
    </row>
    <row r="249" spans="1:34" x14ac:dyDescent="0.25">
      <c r="A249" s="1">
        <v>43843</v>
      </c>
      <c r="B249">
        <v>341.5</v>
      </c>
      <c r="C249">
        <v>5.8910159999999998E-3</v>
      </c>
      <c r="D249">
        <v>422</v>
      </c>
      <c r="E249">
        <v>-2.3148148E-2</v>
      </c>
      <c r="F249">
        <v>2.9039163999999999E-2</v>
      </c>
      <c r="G249">
        <v>2.9039163999999999E-2</v>
      </c>
      <c r="H249">
        <v>1.1755847999999999E-2</v>
      </c>
      <c r="I249">
        <v>1.6007876000000001E-2</v>
      </c>
      <c r="J249">
        <v>1</v>
      </c>
      <c r="K249">
        <v>1</v>
      </c>
      <c r="L249">
        <v>0</v>
      </c>
      <c r="M249">
        <v>5</v>
      </c>
      <c r="N249">
        <v>4.8556545199999999</v>
      </c>
      <c r="O249">
        <v>13</v>
      </c>
      <c r="P249">
        <v>-5</v>
      </c>
      <c r="Q249">
        <v>18</v>
      </c>
      <c r="R249">
        <v>-4439.5</v>
      </c>
      <c r="S249">
        <v>2110</v>
      </c>
      <c r="T249">
        <v>-26</v>
      </c>
      <c r="U249">
        <v>-50</v>
      </c>
      <c r="V249" t="s">
        <v>37</v>
      </c>
      <c r="W249">
        <v>0</v>
      </c>
      <c r="X249">
        <v>0</v>
      </c>
      <c r="Y249">
        <v>0</v>
      </c>
      <c r="Z249">
        <v>1.6007876000000001E-2</v>
      </c>
      <c r="AA249">
        <v>6549.5</v>
      </c>
      <c r="AB249">
        <v>0</v>
      </c>
      <c r="AC249">
        <v>-76</v>
      </c>
      <c r="AD249">
        <v>-1.1603939000000001E-2</v>
      </c>
      <c r="AE249">
        <v>0</v>
      </c>
      <c r="AF249">
        <v>0</v>
      </c>
      <c r="AG249">
        <v>0</v>
      </c>
      <c r="AH249">
        <f t="shared" si="3"/>
        <v>0</v>
      </c>
    </row>
    <row r="250" spans="1:34" x14ac:dyDescent="0.25">
      <c r="A250" s="1">
        <v>43844</v>
      </c>
      <c r="B250">
        <v>346</v>
      </c>
      <c r="C250">
        <v>1.317716E-2</v>
      </c>
      <c r="D250">
        <v>416</v>
      </c>
      <c r="E250">
        <v>-1.4218009E-2</v>
      </c>
      <c r="F250">
        <v>2.7395169E-2</v>
      </c>
      <c r="G250">
        <v>2.7395169E-2</v>
      </c>
      <c r="H250">
        <v>9.3188839999999995E-3</v>
      </c>
      <c r="I250">
        <v>1.6593007E-2</v>
      </c>
      <c r="J250">
        <v>1</v>
      </c>
      <c r="K250">
        <v>1</v>
      </c>
      <c r="L250">
        <v>0</v>
      </c>
      <c r="M250">
        <v>5</v>
      </c>
      <c r="N250">
        <v>1.2972815019999999</v>
      </c>
      <c r="O250">
        <v>13</v>
      </c>
      <c r="P250">
        <v>-5</v>
      </c>
      <c r="Q250">
        <v>18</v>
      </c>
      <c r="R250">
        <v>-4498</v>
      </c>
      <c r="S250">
        <v>2080</v>
      </c>
      <c r="T250">
        <v>-84.5</v>
      </c>
      <c r="U250">
        <v>-80</v>
      </c>
      <c r="V250" t="s">
        <v>37</v>
      </c>
      <c r="W250">
        <v>0</v>
      </c>
      <c r="X250">
        <v>0</v>
      </c>
      <c r="Y250">
        <v>0</v>
      </c>
      <c r="Z250">
        <v>1.6593007E-2</v>
      </c>
      <c r="AA250">
        <v>6578</v>
      </c>
      <c r="AB250">
        <v>0</v>
      </c>
      <c r="AC250">
        <v>-164.5</v>
      </c>
      <c r="AD250">
        <v>-2.5007601000000001E-2</v>
      </c>
      <c r="AE250">
        <v>1</v>
      </c>
      <c r="AF250">
        <v>-164.5</v>
      </c>
      <c r="AG250">
        <v>0</v>
      </c>
      <c r="AH250">
        <f t="shared" si="3"/>
        <v>-2.5007601094557616E-2</v>
      </c>
    </row>
    <row r="251" spans="1:34" x14ac:dyDescent="0.25">
      <c r="A251" s="1">
        <v>43845</v>
      </c>
      <c r="B251">
        <v>340</v>
      </c>
      <c r="C251">
        <v>-1.7341039999999999E-2</v>
      </c>
      <c r="D251">
        <v>416</v>
      </c>
      <c r="E251">
        <v>0</v>
      </c>
      <c r="F251">
        <v>-1.7341039999999999E-2</v>
      </c>
      <c r="G251">
        <v>1.7341039999999999E-2</v>
      </c>
      <c r="H251">
        <v>1.5245622E-2</v>
      </c>
      <c r="I251">
        <v>1.4744581999999999E-2</v>
      </c>
      <c r="J251">
        <v>0</v>
      </c>
      <c r="K251">
        <v>0</v>
      </c>
      <c r="L251">
        <v>-1</v>
      </c>
      <c r="M251">
        <v>5</v>
      </c>
      <c r="N251">
        <v>0</v>
      </c>
      <c r="O251">
        <v>13</v>
      </c>
      <c r="P251">
        <v>-5</v>
      </c>
      <c r="Q251">
        <v>18</v>
      </c>
      <c r="R251">
        <v>-4420</v>
      </c>
      <c r="S251">
        <v>2080</v>
      </c>
      <c r="T251">
        <v>-6.5</v>
      </c>
      <c r="U251">
        <v>-80</v>
      </c>
      <c r="V251" t="s">
        <v>35</v>
      </c>
      <c r="W251">
        <v>-4420</v>
      </c>
      <c r="X251">
        <v>2080</v>
      </c>
      <c r="Y251">
        <v>-86.5</v>
      </c>
      <c r="Z251">
        <v>1.5245622E-2</v>
      </c>
      <c r="AA251">
        <v>6500</v>
      </c>
      <c r="AB251">
        <v>0</v>
      </c>
      <c r="AC251">
        <v>-86.5</v>
      </c>
      <c r="AD251">
        <v>-1.3307691999999999E-2</v>
      </c>
      <c r="AE251">
        <v>0</v>
      </c>
      <c r="AF251">
        <v>0</v>
      </c>
      <c r="AG251">
        <v>0</v>
      </c>
      <c r="AH251">
        <f t="shared" si="3"/>
        <v>0</v>
      </c>
    </row>
    <row r="252" spans="1:34" x14ac:dyDescent="0.25">
      <c r="A252" s="1">
        <v>43846</v>
      </c>
      <c r="B252">
        <v>334.5</v>
      </c>
      <c r="C252">
        <v>-1.6176471000000001E-2</v>
      </c>
      <c r="D252">
        <v>421</v>
      </c>
      <c r="E252">
        <v>1.2019231E-2</v>
      </c>
      <c r="F252">
        <v>-2.8195701E-2</v>
      </c>
      <c r="G252">
        <v>2.8195701E-2</v>
      </c>
      <c r="H252">
        <v>1.4065190999999999E-2</v>
      </c>
      <c r="I252">
        <v>1.3626096000000001E-2</v>
      </c>
      <c r="J252">
        <v>0</v>
      </c>
      <c r="K252">
        <v>1</v>
      </c>
      <c r="L252">
        <v>1</v>
      </c>
      <c r="M252">
        <v>5</v>
      </c>
      <c r="N252">
        <v>0.93514482499999996</v>
      </c>
      <c r="O252">
        <v>5</v>
      </c>
      <c r="P252">
        <v>-5</v>
      </c>
      <c r="Q252">
        <v>10</v>
      </c>
      <c r="R252">
        <v>-1672.5</v>
      </c>
      <c r="S252">
        <v>2105</v>
      </c>
      <c r="T252">
        <v>0</v>
      </c>
      <c r="U252">
        <v>0</v>
      </c>
      <c r="V252" t="s">
        <v>34</v>
      </c>
      <c r="W252">
        <v>-1672.5</v>
      </c>
      <c r="X252">
        <v>2105</v>
      </c>
      <c r="Y252">
        <v>0</v>
      </c>
      <c r="Z252">
        <v>1.4065190999999999E-2</v>
      </c>
      <c r="AA252">
        <v>3777.5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3777.5</v>
      </c>
      <c r="AH252">
        <f t="shared" si="3"/>
        <v>0</v>
      </c>
    </row>
    <row r="253" spans="1:34" x14ac:dyDescent="0.25">
      <c r="A253" s="1">
        <v>43847</v>
      </c>
      <c r="B253">
        <v>333</v>
      </c>
      <c r="C253">
        <v>-4.4843050000000001E-3</v>
      </c>
      <c r="D253">
        <v>420.5</v>
      </c>
      <c r="E253">
        <v>-1.1876479999999999E-3</v>
      </c>
      <c r="F253">
        <v>-3.2966559999999998E-3</v>
      </c>
      <c r="G253">
        <v>3.2966559999999998E-3</v>
      </c>
      <c r="H253">
        <v>1.3408430000000001E-2</v>
      </c>
      <c r="I253">
        <v>1.3629419E-2</v>
      </c>
      <c r="J253">
        <v>0</v>
      </c>
      <c r="K253">
        <v>1</v>
      </c>
      <c r="L253">
        <v>0</v>
      </c>
      <c r="M253">
        <v>5</v>
      </c>
      <c r="N253">
        <v>0.33443716899999998</v>
      </c>
      <c r="O253">
        <v>-5</v>
      </c>
      <c r="P253">
        <v>5</v>
      </c>
      <c r="Q253">
        <v>10</v>
      </c>
      <c r="R253">
        <v>1665</v>
      </c>
      <c r="S253">
        <v>-2102.5</v>
      </c>
      <c r="T253">
        <v>-7.5</v>
      </c>
      <c r="U253">
        <v>2.5</v>
      </c>
      <c r="V253" t="s">
        <v>37</v>
      </c>
      <c r="W253">
        <v>0</v>
      </c>
      <c r="X253">
        <v>0</v>
      </c>
      <c r="Y253">
        <v>0</v>
      </c>
      <c r="Z253">
        <v>1.3629419E-2</v>
      </c>
      <c r="AA253">
        <v>3767.5</v>
      </c>
      <c r="AB253">
        <v>0</v>
      </c>
      <c r="AC253">
        <v>-5</v>
      </c>
      <c r="AD253">
        <v>-1.3271400000000001E-3</v>
      </c>
      <c r="AE253">
        <v>0</v>
      </c>
      <c r="AF253">
        <v>0</v>
      </c>
      <c r="AG253">
        <v>0</v>
      </c>
      <c r="AH253">
        <f t="shared" si="3"/>
        <v>0</v>
      </c>
    </row>
    <row r="254" spans="1:34" x14ac:dyDescent="0.25">
      <c r="A254" s="1">
        <v>43850</v>
      </c>
      <c r="B254">
        <v>333</v>
      </c>
      <c r="C254">
        <v>0</v>
      </c>
      <c r="D254">
        <v>419</v>
      </c>
      <c r="E254">
        <v>-3.5671819999999999E-3</v>
      </c>
      <c r="F254">
        <v>3.5671819999999999E-3</v>
      </c>
      <c r="G254">
        <v>3.5671819999999999E-3</v>
      </c>
      <c r="H254">
        <v>1.2578590000000001E-2</v>
      </c>
      <c r="I254">
        <v>9.3685439999999995E-3</v>
      </c>
      <c r="J254">
        <v>1</v>
      </c>
      <c r="K254">
        <v>0</v>
      </c>
      <c r="L254">
        <v>-1</v>
      </c>
      <c r="M254">
        <v>5</v>
      </c>
      <c r="N254" t="s">
        <v>36</v>
      </c>
      <c r="O254">
        <v>-5</v>
      </c>
      <c r="P254">
        <v>5</v>
      </c>
      <c r="Q254">
        <v>10</v>
      </c>
      <c r="R254">
        <v>1665</v>
      </c>
      <c r="S254">
        <v>-2095</v>
      </c>
      <c r="T254">
        <v>-7.5</v>
      </c>
      <c r="U254">
        <v>10</v>
      </c>
      <c r="V254" t="s">
        <v>35</v>
      </c>
      <c r="W254">
        <v>1665</v>
      </c>
      <c r="X254">
        <v>-2095</v>
      </c>
      <c r="Y254">
        <v>2.5</v>
      </c>
      <c r="Z254">
        <v>1.2578590000000001E-2</v>
      </c>
      <c r="AA254">
        <v>3760</v>
      </c>
      <c r="AB254">
        <v>0</v>
      </c>
      <c r="AC254">
        <v>2.5</v>
      </c>
      <c r="AD254">
        <v>6.6489399999999997E-4</v>
      </c>
      <c r="AE254">
        <v>0</v>
      </c>
      <c r="AF254">
        <v>2.5</v>
      </c>
      <c r="AG254">
        <v>0</v>
      </c>
      <c r="AH254">
        <f t="shared" si="3"/>
        <v>6.6489361702127658E-4</v>
      </c>
    </row>
    <row r="255" spans="1:34" x14ac:dyDescent="0.25">
      <c r="A255" s="1">
        <v>43860</v>
      </c>
      <c r="B255">
        <v>316.5</v>
      </c>
      <c r="C255">
        <v>-4.9549549999999998E-2</v>
      </c>
      <c r="D255">
        <v>383.5</v>
      </c>
      <c r="E255">
        <v>-8.4725537000000004E-2</v>
      </c>
      <c r="F255">
        <v>3.5175986999999999E-2</v>
      </c>
      <c r="G255">
        <v>3.5175986999999999E-2</v>
      </c>
      <c r="H255">
        <v>1.9394641000000001E-2</v>
      </c>
      <c r="I255">
        <v>3.9169401999999999E-2</v>
      </c>
      <c r="J255">
        <v>1</v>
      </c>
      <c r="K255">
        <v>0</v>
      </c>
      <c r="L255">
        <v>0</v>
      </c>
      <c r="M255">
        <v>5</v>
      </c>
      <c r="N255">
        <v>2.0718879920000002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W255">
        <v>0</v>
      </c>
      <c r="X255">
        <v>0</v>
      </c>
      <c r="Y255">
        <v>0</v>
      </c>
      <c r="Z255">
        <v>3.9169401999999999E-2</v>
      </c>
      <c r="AA255">
        <v>0</v>
      </c>
      <c r="AB255" t="s">
        <v>33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f t="shared" si="3"/>
        <v>0</v>
      </c>
    </row>
    <row r="256" spans="1:34" x14ac:dyDescent="0.25">
      <c r="A256" s="1">
        <v>43861</v>
      </c>
      <c r="B256">
        <v>320</v>
      </c>
      <c r="C256">
        <v>1.1058452E-2</v>
      </c>
      <c r="D256">
        <v>388</v>
      </c>
      <c r="E256">
        <v>1.1734029E-2</v>
      </c>
      <c r="F256">
        <v>-6.7557700000000001E-4</v>
      </c>
      <c r="G256">
        <v>6.7557700000000001E-4</v>
      </c>
      <c r="H256">
        <v>2.3234918E-2</v>
      </c>
      <c r="I256">
        <v>4.0653077000000003E-2</v>
      </c>
      <c r="J256">
        <v>0</v>
      </c>
      <c r="K256">
        <v>0</v>
      </c>
      <c r="L256">
        <v>0</v>
      </c>
      <c r="M256">
        <v>5</v>
      </c>
      <c r="N256">
        <v>1.286573384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W256">
        <v>0</v>
      </c>
      <c r="X256">
        <v>0</v>
      </c>
      <c r="Y256">
        <v>0</v>
      </c>
      <c r="Z256">
        <v>4.0653077000000003E-2</v>
      </c>
      <c r="AA256">
        <v>0</v>
      </c>
      <c r="AB256" t="s">
        <v>33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f t="shared" si="3"/>
        <v>0</v>
      </c>
    </row>
    <row r="257" spans="1:34" x14ac:dyDescent="0.25">
      <c r="A257" s="1">
        <v>43864</v>
      </c>
      <c r="B257">
        <v>315</v>
      </c>
      <c r="C257">
        <v>-1.5625E-2</v>
      </c>
      <c r="D257">
        <v>382</v>
      </c>
      <c r="E257">
        <v>-1.5463918E-2</v>
      </c>
      <c r="F257">
        <v>-1.61082E-4</v>
      </c>
      <c r="G257">
        <v>1.61082E-4</v>
      </c>
      <c r="H257">
        <v>2.3210425E-2</v>
      </c>
      <c r="I257">
        <v>3.8182921000000002E-2</v>
      </c>
      <c r="J257">
        <v>0</v>
      </c>
      <c r="K257">
        <v>0</v>
      </c>
      <c r="L257">
        <v>0</v>
      </c>
      <c r="M257">
        <v>5</v>
      </c>
      <c r="N257">
        <v>1.200196367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W257">
        <v>0</v>
      </c>
      <c r="X257">
        <v>0</v>
      </c>
      <c r="Y257">
        <v>0</v>
      </c>
      <c r="Z257">
        <v>3.8182921000000002E-2</v>
      </c>
      <c r="AA257">
        <v>0</v>
      </c>
      <c r="AB257" t="s">
        <v>33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f t="shared" si="3"/>
        <v>0</v>
      </c>
    </row>
    <row r="258" spans="1:34" x14ac:dyDescent="0.25">
      <c r="A258" s="1">
        <v>43865</v>
      </c>
      <c r="B258">
        <v>325</v>
      </c>
      <c r="C258">
        <v>3.1746032E-2</v>
      </c>
      <c r="D258">
        <v>390.5</v>
      </c>
      <c r="E258">
        <v>2.2251309E-2</v>
      </c>
      <c r="F258">
        <v>9.4947230000000001E-3</v>
      </c>
      <c r="G258">
        <v>9.4947230000000001E-3</v>
      </c>
      <c r="H258">
        <v>3.0534056E-2</v>
      </c>
      <c r="I258">
        <v>4.2099511999999999E-2</v>
      </c>
      <c r="J258">
        <v>1</v>
      </c>
      <c r="K258">
        <v>0</v>
      </c>
      <c r="L258">
        <v>0</v>
      </c>
      <c r="M258">
        <v>5</v>
      </c>
      <c r="N258">
        <v>0.84217780900000005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W258">
        <v>0</v>
      </c>
      <c r="X258">
        <v>0</v>
      </c>
      <c r="Y258">
        <v>0</v>
      </c>
      <c r="Z258">
        <v>4.2099511999999999E-2</v>
      </c>
      <c r="AA258">
        <v>0</v>
      </c>
      <c r="AB258" t="s">
        <v>33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f t="shared" si="3"/>
        <v>0</v>
      </c>
    </row>
    <row r="259" spans="1:34" x14ac:dyDescent="0.25">
      <c r="A259" s="1">
        <v>43866</v>
      </c>
      <c r="B259">
        <v>327.5</v>
      </c>
      <c r="C259">
        <v>7.6923080000000001E-3</v>
      </c>
      <c r="D259">
        <v>381</v>
      </c>
      <c r="E259">
        <v>-2.4327785000000001E-2</v>
      </c>
      <c r="F259">
        <v>3.2020092999999999E-2</v>
      </c>
      <c r="G259">
        <v>3.2020092999999999E-2</v>
      </c>
      <c r="H259">
        <v>3.1005978E-2</v>
      </c>
      <c r="I259">
        <v>4.1841944999999998E-2</v>
      </c>
      <c r="J259">
        <v>1</v>
      </c>
      <c r="K259">
        <v>0</v>
      </c>
      <c r="L259">
        <v>0</v>
      </c>
      <c r="M259">
        <v>5</v>
      </c>
      <c r="N259">
        <v>3.6792524750000002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W259">
        <v>0</v>
      </c>
      <c r="X259">
        <v>0</v>
      </c>
      <c r="Y259">
        <v>0</v>
      </c>
      <c r="Z259">
        <v>4.1841944999999998E-2</v>
      </c>
      <c r="AA259">
        <v>0</v>
      </c>
      <c r="AB259" t="s">
        <v>33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f t="shared" ref="AH259:AH322" si="4">IF(AF259&lt;&gt;0,AF259/AA259,0)</f>
        <v>0</v>
      </c>
    </row>
    <row r="260" spans="1:34" x14ac:dyDescent="0.25">
      <c r="A260" s="1">
        <v>43867</v>
      </c>
      <c r="B260">
        <v>332.5</v>
      </c>
      <c r="C260">
        <v>1.5267176E-2</v>
      </c>
      <c r="D260">
        <v>382</v>
      </c>
      <c r="E260">
        <v>2.6246720000000002E-3</v>
      </c>
      <c r="F260">
        <v>1.2642504000000001E-2</v>
      </c>
      <c r="G260">
        <v>1.2642504000000001E-2</v>
      </c>
      <c r="H260">
        <v>1.7056637999999999E-2</v>
      </c>
      <c r="I260">
        <v>1.9161461000000001E-2</v>
      </c>
      <c r="J260">
        <v>1</v>
      </c>
      <c r="K260">
        <v>0</v>
      </c>
      <c r="L260">
        <v>0</v>
      </c>
      <c r="M260">
        <v>5</v>
      </c>
      <c r="N260">
        <v>0.19750952199999999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W260">
        <v>0</v>
      </c>
      <c r="X260">
        <v>0</v>
      </c>
      <c r="Y260">
        <v>0</v>
      </c>
      <c r="Z260">
        <v>1.9161461000000001E-2</v>
      </c>
      <c r="AA260">
        <v>0</v>
      </c>
      <c r="AB260" t="s">
        <v>33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f t="shared" si="4"/>
        <v>0</v>
      </c>
    </row>
    <row r="261" spans="1:34" x14ac:dyDescent="0.25">
      <c r="A261" s="1">
        <v>43868</v>
      </c>
      <c r="B261">
        <v>328</v>
      </c>
      <c r="C261">
        <v>-1.3533834999999999E-2</v>
      </c>
      <c r="D261">
        <v>381</v>
      </c>
      <c r="E261">
        <v>-2.6178009999999999E-3</v>
      </c>
      <c r="F261">
        <v>-1.0916034E-2</v>
      </c>
      <c r="G261">
        <v>1.0916034E-2</v>
      </c>
      <c r="H261">
        <v>1.9980286999999999E-2</v>
      </c>
      <c r="I261">
        <v>1.7877021E-2</v>
      </c>
      <c r="J261">
        <v>0</v>
      </c>
      <c r="K261">
        <v>0</v>
      </c>
      <c r="L261">
        <v>0</v>
      </c>
      <c r="M261">
        <v>5</v>
      </c>
      <c r="N261">
        <v>0.22468128800000001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W261">
        <v>0</v>
      </c>
      <c r="X261">
        <v>0</v>
      </c>
      <c r="Y261">
        <v>0</v>
      </c>
      <c r="Z261">
        <v>1.9980286999999999E-2</v>
      </c>
      <c r="AA261">
        <v>0</v>
      </c>
      <c r="AB261" t="s">
        <v>33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f t="shared" si="4"/>
        <v>0</v>
      </c>
    </row>
    <row r="262" spans="1:34" x14ac:dyDescent="0.25">
      <c r="A262" s="1">
        <v>43871</v>
      </c>
      <c r="B262">
        <v>327.5</v>
      </c>
      <c r="C262">
        <v>-1.52439E-3</v>
      </c>
      <c r="D262">
        <v>380</v>
      </c>
      <c r="E262">
        <v>-2.6246720000000002E-3</v>
      </c>
      <c r="F262">
        <v>1.100282E-3</v>
      </c>
      <c r="G262">
        <v>1.100282E-3</v>
      </c>
      <c r="H262">
        <v>1.7111221999999999E-2</v>
      </c>
      <c r="I262">
        <v>1.6607117000000001E-2</v>
      </c>
      <c r="J262">
        <v>1</v>
      </c>
      <c r="K262">
        <v>0</v>
      </c>
      <c r="L262">
        <v>0</v>
      </c>
      <c r="M262">
        <v>5</v>
      </c>
      <c r="N262">
        <v>1.9977960770000001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W262">
        <v>0</v>
      </c>
      <c r="X262">
        <v>0</v>
      </c>
      <c r="Y262">
        <v>0</v>
      </c>
      <c r="Z262">
        <v>1.7111221999999999E-2</v>
      </c>
      <c r="AA262">
        <v>0</v>
      </c>
      <c r="AB262" t="s">
        <v>33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f t="shared" si="4"/>
        <v>0</v>
      </c>
    </row>
    <row r="263" spans="1:34" x14ac:dyDescent="0.25">
      <c r="A263" s="1">
        <v>43872</v>
      </c>
      <c r="B263">
        <v>331.5</v>
      </c>
      <c r="C263">
        <v>1.2213740000000001E-2</v>
      </c>
      <c r="D263">
        <v>390</v>
      </c>
      <c r="E263">
        <v>2.6315788999999999E-2</v>
      </c>
      <c r="F263">
        <v>-1.4102049E-2</v>
      </c>
      <c r="G263">
        <v>1.4102049E-2</v>
      </c>
      <c r="H263">
        <v>1.1683315999999999E-2</v>
      </c>
      <c r="I263">
        <v>1.8061792E-2</v>
      </c>
      <c r="J263">
        <v>0</v>
      </c>
      <c r="K263">
        <v>0</v>
      </c>
      <c r="L263">
        <v>0</v>
      </c>
      <c r="M263">
        <v>5</v>
      </c>
      <c r="N263">
        <v>2.5348297209999999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W263">
        <v>0</v>
      </c>
      <c r="X263">
        <v>0</v>
      </c>
      <c r="Y263">
        <v>0</v>
      </c>
      <c r="Z263">
        <v>1.8061792E-2</v>
      </c>
      <c r="AA263">
        <v>0</v>
      </c>
      <c r="AB263" t="s">
        <v>33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f t="shared" si="4"/>
        <v>0</v>
      </c>
    </row>
    <row r="264" spans="1:34" x14ac:dyDescent="0.25">
      <c r="A264" s="1">
        <v>43873</v>
      </c>
      <c r="B264">
        <v>335</v>
      </c>
      <c r="C264">
        <v>1.0558069E-2</v>
      </c>
      <c r="D264">
        <v>401.5</v>
      </c>
      <c r="E264">
        <v>2.9487178999999999E-2</v>
      </c>
      <c r="F264">
        <v>-1.8929109999999999E-2</v>
      </c>
      <c r="G264">
        <v>1.8929109999999999E-2</v>
      </c>
      <c r="H264">
        <v>1.1974976999999999E-2</v>
      </c>
      <c r="I264">
        <v>1.5944534999999999E-2</v>
      </c>
      <c r="J264">
        <v>0</v>
      </c>
      <c r="K264">
        <v>1</v>
      </c>
      <c r="L264">
        <v>1</v>
      </c>
      <c r="M264">
        <v>5</v>
      </c>
      <c r="N264">
        <v>3.3472601279999998</v>
      </c>
      <c r="O264">
        <v>17</v>
      </c>
      <c r="P264">
        <v>-5</v>
      </c>
      <c r="Q264">
        <v>22</v>
      </c>
      <c r="R264">
        <v>-5695</v>
      </c>
      <c r="S264">
        <v>2007.5</v>
      </c>
      <c r="T264">
        <v>0</v>
      </c>
      <c r="U264">
        <v>0</v>
      </c>
      <c r="V264" t="s">
        <v>34</v>
      </c>
      <c r="W264">
        <v>-5695</v>
      </c>
      <c r="X264">
        <v>2007.5</v>
      </c>
      <c r="Y264">
        <v>0</v>
      </c>
      <c r="Z264">
        <v>1.5944534999999999E-2</v>
      </c>
      <c r="AA264">
        <v>7702.5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7702.5</v>
      </c>
      <c r="AH264">
        <f t="shared" si="4"/>
        <v>0</v>
      </c>
    </row>
    <row r="265" spans="1:34" x14ac:dyDescent="0.25">
      <c r="A265" s="1">
        <v>43874</v>
      </c>
      <c r="B265">
        <v>335</v>
      </c>
      <c r="C265">
        <v>0</v>
      </c>
      <c r="D265">
        <v>408.5</v>
      </c>
      <c r="E265">
        <v>1.7434620000000001E-2</v>
      </c>
      <c r="F265">
        <v>-1.7434620000000001E-2</v>
      </c>
      <c r="G265">
        <v>1.7434620000000001E-2</v>
      </c>
      <c r="H265">
        <v>1.0419174999999999E-2</v>
      </c>
      <c r="I265">
        <v>1.5451983000000001E-2</v>
      </c>
      <c r="J265">
        <v>0</v>
      </c>
      <c r="K265">
        <v>1</v>
      </c>
      <c r="L265">
        <v>0</v>
      </c>
      <c r="M265">
        <v>5</v>
      </c>
      <c r="N265" t="s">
        <v>36</v>
      </c>
      <c r="O265">
        <v>-17</v>
      </c>
      <c r="P265">
        <v>5</v>
      </c>
      <c r="Q265">
        <v>22</v>
      </c>
      <c r="R265">
        <v>5695</v>
      </c>
      <c r="S265">
        <v>-2042.5</v>
      </c>
      <c r="T265">
        <v>0</v>
      </c>
      <c r="U265">
        <v>-35</v>
      </c>
      <c r="V265" t="s">
        <v>37</v>
      </c>
      <c r="W265">
        <v>0</v>
      </c>
      <c r="X265">
        <v>0</v>
      </c>
      <c r="Y265">
        <v>0</v>
      </c>
      <c r="Z265">
        <v>1.5451983000000001E-2</v>
      </c>
      <c r="AA265">
        <v>7737.5</v>
      </c>
      <c r="AB265">
        <v>0</v>
      </c>
      <c r="AC265">
        <v>-35</v>
      </c>
      <c r="AD265">
        <v>-4.5234250000000002E-3</v>
      </c>
      <c r="AE265">
        <v>0</v>
      </c>
      <c r="AF265">
        <v>0</v>
      </c>
      <c r="AG265">
        <v>0</v>
      </c>
      <c r="AH265">
        <f t="shared" si="4"/>
        <v>0</v>
      </c>
    </row>
    <row r="266" spans="1:34" x14ac:dyDescent="0.25">
      <c r="A266" s="1">
        <v>43875</v>
      </c>
      <c r="B266">
        <v>335</v>
      </c>
      <c r="C266">
        <v>0</v>
      </c>
      <c r="D266">
        <v>405.5</v>
      </c>
      <c r="E266">
        <v>-7.3439409999999997E-3</v>
      </c>
      <c r="F266">
        <v>7.3439409999999997E-3</v>
      </c>
      <c r="G266">
        <v>7.3439409999999997E-3</v>
      </c>
      <c r="H266">
        <v>6.5704159999999999E-3</v>
      </c>
      <c r="I266">
        <v>1.6779527999999998E-2</v>
      </c>
      <c r="J266">
        <v>1</v>
      </c>
      <c r="K266">
        <v>0</v>
      </c>
      <c r="L266">
        <v>-1</v>
      </c>
      <c r="M266">
        <v>5</v>
      </c>
      <c r="N266" t="s">
        <v>36</v>
      </c>
      <c r="O266">
        <v>-17</v>
      </c>
      <c r="P266">
        <v>5</v>
      </c>
      <c r="Q266">
        <v>22</v>
      </c>
      <c r="R266">
        <v>5695</v>
      </c>
      <c r="S266">
        <v>-2027.5</v>
      </c>
      <c r="T266">
        <v>0</v>
      </c>
      <c r="U266">
        <v>-20</v>
      </c>
      <c r="V266" t="s">
        <v>35</v>
      </c>
      <c r="W266">
        <v>5695</v>
      </c>
      <c r="X266">
        <v>-2027.5</v>
      </c>
      <c r="Y266">
        <v>-20</v>
      </c>
      <c r="Z266">
        <v>1.6779527999999998E-2</v>
      </c>
      <c r="AA266">
        <v>7722.5</v>
      </c>
      <c r="AB266">
        <v>0</v>
      </c>
      <c r="AC266">
        <v>-20</v>
      </c>
      <c r="AD266">
        <v>-2.589835E-3</v>
      </c>
      <c r="AE266">
        <v>0</v>
      </c>
      <c r="AF266">
        <v>-20</v>
      </c>
      <c r="AG266">
        <v>0</v>
      </c>
      <c r="AH266">
        <f t="shared" si="4"/>
        <v>-2.589834898025251E-3</v>
      </c>
    </row>
    <row r="267" spans="1:34" x14ac:dyDescent="0.25">
      <c r="A267" s="1">
        <v>43878</v>
      </c>
      <c r="B267">
        <v>331.5</v>
      </c>
      <c r="C267">
        <v>-1.0447761E-2</v>
      </c>
      <c r="D267">
        <v>398</v>
      </c>
      <c r="E267">
        <v>-1.8495683999999998E-2</v>
      </c>
      <c r="F267">
        <v>8.0479230000000002E-3</v>
      </c>
      <c r="G267">
        <v>8.0479230000000002E-3</v>
      </c>
      <c r="H267">
        <v>9.2117799999999993E-3</v>
      </c>
      <c r="I267">
        <v>2.1287853999999998E-2</v>
      </c>
      <c r="J267">
        <v>1</v>
      </c>
      <c r="K267">
        <v>0</v>
      </c>
      <c r="L267">
        <v>0</v>
      </c>
      <c r="M267">
        <v>5</v>
      </c>
      <c r="N267">
        <v>2.1254295139999999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W267">
        <v>0</v>
      </c>
      <c r="X267">
        <v>0</v>
      </c>
      <c r="Y267">
        <v>0</v>
      </c>
      <c r="Z267">
        <v>2.1287853999999998E-2</v>
      </c>
      <c r="AA267">
        <v>0</v>
      </c>
      <c r="AB267" t="s">
        <v>33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f t="shared" si="4"/>
        <v>0</v>
      </c>
    </row>
    <row r="268" spans="1:34" x14ac:dyDescent="0.25">
      <c r="A268" s="1">
        <v>43879</v>
      </c>
      <c r="B268">
        <v>322</v>
      </c>
      <c r="C268">
        <v>-2.8657617E-2</v>
      </c>
      <c r="D268">
        <v>392</v>
      </c>
      <c r="E268">
        <v>-1.5075376999999999E-2</v>
      </c>
      <c r="F268">
        <v>-1.3582240000000001E-2</v>
      </c>
      <c r="G268">
        <v>1.3582240000000001E-2</v>
      </c>
      <c r="H268">
        <v>1.4823105E-2</v>
      </c>
      <c r="I268">
        <v>2.1151442999999999E-2</v>
      </c>
      <c r="J268">
        <v>0</v>
      </c>
      <c r="K268">
        <v>0</v>
      </c>
      <c r="L268">
        <v>0</v>
      </c>
      <c r="M268">
        <v>5</v>
      </c>
      <c r="N268">
        <v>0.64041028899999997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W268">
        <v>0</v>
      </c>
      <c r="X268">
        <v>0</v>
      </c>
      <c r="Y268">
        <v>0</v>
      </c>
      <c r="Z268">
        <v>2.1151442999999999E-2</v>
      </c>
      <c r="AA268">
        <v>0</v>
      </c>
      <c r="AB268" t="s">
        <v>33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f t="shared" si="4"/>
        <v>0</v>
      </c>
    </row>
    <row r="269" spans="1:34" x14ac:dyDescent="0.25">
      <c r="A269" s="1">
        <v>43880</v>
      </c>
      <c r="B269">
        <v>326.5</v>
      </c>
      <c r="C269">
        <v>1.3975155E-2</v>
      </c>
      <c r="D269">
        <v>388.5</v>
      </c>
      <c r="E269">
        <v>-8.9285709999999997E-3</v>
      </c>
      <c r="F269">
        <v>2.2903726999999999E-2</v>
      </c>
      <c r="G269">
        <v>2.2903726999999999E-2</v>
      </c>
      <c r="H269">
        <v>1.5806754999999999E-2</v>
      </c>
      <c r="I269">
        <v>1.411478E-2</v>
      </c>
      <c r="J269">
        <v>1</v>
      </c>
      <c r="K269">
        <v>1</v>
      </c>
      <c r="L269">
        <v>1</v>
      </c>
      <c r="M269">
        <v>5</v>
      </c>
      <c r="N269">
        <v>0.76020929000000004</v>
      </c>
      <c r="O269">
        <v>-4</v>
      </c>
      <c r="P269">
        <v>5</v>
      </c>
      <c r="Q269">
        <v>9</v>
      </c>
      <c r="R269">
        <v>1306</v>
      </c>
      <c r="S269">
        <v>-1942.5</v>
      </c>
      <c r="T269">
        <v>0</v>
      </c>
      <c r="U269">
        <v>0</v>
      </c>
      <c r="V269" t="s">
        <v>34</v>
      </c>
      <c r="W269">
        <v>1306</v>
      </c>
      <c r="X269">
        <v>-1942.5</v>
      </c>
      <c r="Y269">
        <v>0</v>
      </c>
      <c r="Z269">
        <v>1.5806754999999999E-2</v>
      </c>
      <c r="AA269">
        <v>3248.5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3248.5</v>
      </c>
      <c r="AH269">
        <f t="shared" si="4"/>
        <v>0</v>
      </c>
    </row>
    <row r="270" spans="1:34" x14ac:dyDescent="0.25">
      <c r="A270" s="1">
        <v>43881</v>
      </c>
      <c r="B270">
        <v>325.5</v>
      </c>
      <c r="C270">
        <v>-3.062787E-3</v>
      </c>
      <c r="D270">
        <v>394</v>
      </c>
      <c r="E270">
        <v>1.4157014000000001E-2</v>
      </c>
      <c r="F270">
        <v>-1.7219801E-2</v>
      </c>
      <c r="G270">
        <v>1.7219801E-2</v>
      </c>
      <c r="H270">
        <v>1.5621549E-2</v>
      </c>
      <c r="I270">
        <v>1.2735042E-2</v>
      </c>
      <c r="J270">
        <v>0</v>
      </c>
      <c r="K270">
        <v>0</v>
      </c>
      <c r="L270">
        <v>-1</v>
      </c>
      <c r="M270">
        <v>5</v>
      </c>
      <c r="N270">
        <v>5.5949998709999997</v>
      </c>
      <c r="O270">
        <v>4</v>
      </c>
      <c r="P270">
        <v>-5</v>
      </c>
      <c r="Q270">
        <v>9</v>
      </c>
      <c r="R270">
        <v>-1302</v>
      </c>
      <c r="S270">
        <v>1970</v>
      </c>
      <c r="T270">
        <v>4</v>
      </c>
      <c r="U270">
        <v>27.5</v>
      </c>
      <c r="V270" t="s">
        <v>35</v>
      </c>
      <c r="W270">
        <v>-1302</v>
      </c>
      <c r="X270">
        <v>1970</v>
      </c>
      <c r="Y270">
        <v>31.5</v>
      </c>
      <c r="Z270">
        <v>1.5621549E-2</v>
      </c>
      <c r="AA270">
        <v>3272</v>
      </c>
      <c r="AB270">
        <v>0</v>
      </c>
      <c r="AC270">
        <v>31.5</v>
      </c>
      <c r="AD270">
        <v>9.6271389999999998E-3</v>
      </c>
      <c r="AE270">
        <v>0</v>
      </c>
      <c r="AF270">
        <v>31.5</v>
      </c>
      <c r="AG270">
        <v>0</v>
      </c>
      <c r="AH270">
        <f t="shared" si="4"/>
        <v>9.6271393643031777E-3</v>
      </c>
    </row>
    <row r="271" spans="1:34" x14ac:dyDescent="0.25">
      <c r="A271" s="1">
        <v>43882</v>
      </c>
      <c r="B271">
        <v>325</v>
      </c>
      <c r="C271">
        <v>-1.5360980000000001E-3</v>
      </c>
      <c r="D271">
        <v>388</v>
      </c>
      <c r="E271">
        <v>-1.5228426E-2</v>
      </c>
      <c r="F271">
        <v>1.3692328E-2</v>
      </c>
      <c r="G271">
        <v>1.3692328E-2</v>
      </c>
      <c r="H271">
        <v>1.5497548E-2</v>
      </c>
      <c r="I271">
        <v>1.3244957E-2</v>
      </c>
      <c r="J271">
        <v>1</v>
      </c>
      <c r="K271">
        <v>0</v>
      </c>
      <c r="L271">
        <v>0</v>
      </c>
      <c r="M271">
        <v>5</v>
      </c>
      <c r="N271">
        <v>11.835439279999999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W271">
        <v>0</v>
      </c>
      <c r="X271">
        <v>0</v>
      </c>
      <c r="Y271">
        <v>0</v>
      </c>
      <c r="Z271">
        <v>1.5497548E-2</v>
      </c>
      <c r="AA271">
        <v>0</v>
      </c>
      <c r="AB271" t="s">
        <v>33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f t="shared" si="4"/>
        <v>0</v>
      </c>
    </row>
    <row r="272" spans="1:34" x14ac:dyDescent="0.25">
      <c r="A272" s="1">
        <v>43885</v>
      </c>
      <c r="B272">
        <v>320</v>
      </c>
      <c r="C272">
        <v>-1.5384615000000001E-2</v>
      </c>
      <c r="D272">
        <v>377</v>
      </c>
      <c r="E272">
        <v>-2.8350515E-2</v>
      </c>
      <c r="F272">
        <v>1.2965900000000001E-2</v>
      </c>
      <c r="G272">
        <v>1.2965900000000001E-2</v>
      </c>
      <c r="H272">
        <v>1.6005037E-2</v>
      </c>
      <c r="I272">
        <v>1.5590055E-2</v>
      </c>
      <c r="J272">
        <v>1</v>
      </c>
      <c r="K272">
        <v>0</v>
      </c>
      <c r="L272">
        <v>0</v>
      </c>
      <c r="M272">
        <v>5</v>
      </c>
      <c r="N272">
        <v>2.1710293169999999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W272">
        <v>0</v>
      </c>
      <c r="X272">
        <v>0</v>
      </c>
      <c r="Y272">
        <v>0</v>
      </c>
      <c r="Z272">
        <v>1.6005037E-2</v>
      </c>
      <c r="AA272">
        <v>0</v>
      </c>
      <c r="AB272" t="s">
        <v>33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f t="shared" si="4"/>
        <v>0</v>
      </c>
    </row>
    <row r="273" spans="1:34" x14ac:dyDescent="0.25">
      <c r="A273" s="1">
        <v>43886</v>
      </c>
      <c r="B273">
        <v>322</v>
      </c>
      <c r="C273">
        <v>6.2500000000000003E-3</v>
      </c>
      <c r="D273">
        <v>378.5</v>
      </c>
      <c r="E273">
        <v>3.9787800000000003E-3</v>
      </c>
      <c r="F273">
        <v>2.27122E-3</v>
      </c>
      <c r="G273">
        <v>2.27122E-3</v>
      </c>
      <c r="H273">
        <v>1.0986154999999999E-2</v>
      </c>
      <c r="I273">
        <v>1.6547996999999998E-2</v>
      </c>
      <c r="J273">
        <v>1</v>
      </c>
      <c r="K273">
        <v>0</v>
      </c>
      <c r="L273">
        <v>0</v>
      </c>
      <c r="M273">
        <v>5</v>
      </c>
      <c r="N273">
        <v>0.74830716500000005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W273">
        <v>0</v>
      </c>
      <c r="X273">
        <v>0</v>
      </c>
      <c r="Y273">
        <v>0</v>
      </c>
      <c r="Z273">
        <v>1.6547996999999998E-2</v>
      </c>
      <c r="AA273">
        <v>0</v>
      </c>
      <c r="AB273" t="s">
        <v>33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f t="shared" si="4"/>
        <v>0</v>
      </c>
    </row>
    <row r="274" spans="1:34" x14ac:dyDescent="0.25">
      <c r="A274" s="1">
        <v>43887</v>
      </c>
      <c r="B274">
        <v>318.5</v>
      </c>
      <c r="C274">
        <v>-1.0869564999999999E-2</v>
      </c>
      <c r="D274">
        <v>375</v>
      </c>
      <c r="E274">
        <v>-9.2470279999999992E-3</v>
      </c>
      <c r="F274">
        <v>-1.6225370000000001E-3</v>
      </c>
      <c r="G274">
        <v>1.6225370000000001E-3</v>
      </c>
      <c r="H274">
        <v>8.4346669999999999E-3</v>
      </c>
      <c r="I274">
        <v>1.6558489999999999E-2</v>
      </c>
      <c r="J274">
        <v>0</v>
      </c>
      <c r="K274">
        <v>0</v>
      </c>
      <c r="L274">
        <v>0</v>
      </c>
      <c r="M274">
        <v>5</v>
      </c>
      <c r="N274">
        <v>1.0016403679999999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W274">
        <v>0</v>
      </c>
      <c r="X274">
        <v>0</v>
      </c>
      <c r="Y274">
        <v>0</v>
      </c>
      <c r="Z274">
        <v>1.6558489999999999E-2</v>
      </c>
      <c r="AA274">
        <v>0</v>
      </c>
      <c r="AB274" t="s">
        <v>33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f t="shared" si="4"/>
        <v>0</v>
      </c>
    </row>
    <row r="275" spans="1:34" x14ac:dyDescent="0.25">
      <c r="A275" s="1">
        <v>43888</v>
      </c>
      <c r="B275">
        <v>316</v>
      </c>
      <c r="C275">
        <v>-7.8492939999999997E-3</v>
      </c>
      <c r="D275">
        <v>360</v>
      </c>
      <c r="E275">
        <v>-0.04</v>
      </c>
      <c r="F275">
        <v>3.2150706000000001E-2</v>
      </c>
      <c r="G275">
        <v>3.2150706000000001E-2</v>
      </c>
      <c r="H275">
        <v>8.4427180000000001E-3</v>
      </c>
      <c r="I275">
        <v>1.7016390999999999E-2</v>
      </c>
      <c r="J275">
        <v>1</v>
      </c>
      <c r="K275">
        <v>1</v>
      </c>
      <c r="L275">
        <v>1</v>
      </c>
      <c r="M275">
        <v>5</v>
      </c>
      <c r="N275">
        <v>5.80556962</v>
      </c>
      <c r="O275">
        <v>-30</v>
      </c>
      <c r="P275">
        <v>5</v>
      </c>
      <c r="Q275">
        <v>35</v>
      </c>
      <c r="R275">
        <v>9480</v>
      </c>
      <c r="S275">
        <v>-1800</v>
      </c>
      <c r="T275">
        <v>0</v>
      </c>
      <c r="U275">
        <v>0</v>
      </c>
      <c r="V275" t="s">
        <v>34</v>
      </c>
      <c r="W275">
        <v>9480</v>
      </c>
      <c r="X275">
        <v>-1800</v>
      </c>
      <c r="Y275">
        <v>0</v>
      </c>
      <c r="Z275">
        <v>1.7016390999999999E-2</v>
      </c>
      <c r="AA275">
        <v>11280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11280</v>
      </c>
      <c r="AH275">
        <f t="shared" si="4"/>
        <v>0</v>
      </c>
    </row>
    <row r="276" spans="1:34" x14ac:dyDescent="0.25">
      <c r="A276" s="1">
        <v>43892</v>
      </c>
      <c r="B276">
        <v>311</v>
      </c>
      <c r="C276">
        <v>-1.5822784999999999E-2</v>
      </c>
      <c r="D276">
        <v>363</v>
      </c>
      <c r="E276">
        <v>8.3333330000000001E-3</v>
      </c>
      <c r="F276">
        <v>-2.4156118000000001E-2</v>
      </c>
      <c r="G276">
        <v>2.4156118000000001E-2</v>
      </c>
      <c r="H276">
        <v>9.0047919999999993E-3</v>
      </c>
      <c r="I276">
        <v>2.0749078000000001E-2</v>
      </c>
      <c r="J276">
        <v>0</v>
      </c>
      <c r="K276">
        <v>0</v>
      </c>
      <c r="L276">
        <v>-1</v>
      </c>
      <c r="M276">
        <v>5</v>
      </c>
      <c r="N276">
        <v>0.61472668799999997</v>
      </c>
      <c r="O276">
        <v>30</v>
      </c>
      <c r="P276">
        <v>-5</v>
      </c>
      <c r="Q276">
        <v>35</v>
      </c>
      <c r="R276">
        <v>-9330</v>
      </c>
      <c r="S276">
        <v>1815</v>
      </c>
      <c r="T276">
        <v>150</v>
      </c>
      <c r="U276">
        <v>15</v>
      </c>
      <c r="V276" t="s">
        <v>35</v>
      </c>
      <c r="W276">
        <v>-9330</v>
      </c>
      <c r="X276">
        <v>1815</v>
      </c>
      <c r="Y276">
        <v>165</v>
      </c>
      <c r="Z276">
        <v>2.0749078000000001E-2</v>
      </c>
      <c r="AA276">
        <v>11145</v>
      </c>
      <c r="AB276">
        <v>0</v>
      </c>
      <c r="AC276">
        <v>165</v>
      </c>
      <c r="AD276">
        <v>1.4804845000000001E-2</v>
      </c>
      <c r="AE276">
        <v>0</v>
      </c>
      <c r="AF276">
        <v>165</v>
      </c>
      <c r="AG276">
        <v>0</v>
      </c>
      <c r="AH276">
        <f t="shared" si="4"/>
        <v>1.4804845222072678E-2</v>
      </c>
    </row>
    <row r="277" spans="1:34" x14ac:dyDescent="0.25">
      <c r="A277" s="1">
        <v>43893</v>
      </c>
      <c r="B277">
        <v>317.5</v>
      </c>
      <c r="C277">
        <v>2.0900321999999999E-2</v>
      </c>
      <c r="D277">
        <v>372</v>
      </c>
      <c r="E277">
        <v>2.4793388E-2</v>
      </c>
      <c r="F277">
        <v>-3.8930670000000001E-3</v>
      </c>
      <c r="G277">
        <v>3.8930670000000001E-3</v>
      </c>
      <c r="H277">
        <v>1.4958935E-2</v>
      </c>
      <c r="I277">
        <v>2.4269381E-2</v>
      </c>
      <c r="J277">
        <v>0</v>
      </c>
      <c r="K277">
        <v>0</v>
      </c>
      <c r="L277">
        <v>0</v>
      </c>
      <c r="M277">
        <v>5</v>
      </c>
      <c r="N277">
        <v>1.3898954299999999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W277">
        <v>0</v>
      </c>
      <c r="X277">
        <v>0</v>
      </c>
      <c r="Y277">
        <v>0</v>
      </c>
      <c r="Z277">
        <v>2.4269381E-2</v>
      </c>
      <c r="AA277">
        <v>0</v>
      </c>
      <c r="AB277" t="s">
        <v>33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f t="shared" si="4"/>
        <v>0</v>
      </c>
    </row>
    <row r="278" spans="1:34" x14ac:dyDescent="0.25">
      <c r="A278" s="1">
        <v>43894</v>
      </c>
      <c r="B278">
        <v>320.5</v>
      </c>
      <c r="C278">
        <v>9.4488190000000007E-3</v>
      </c>
      <c r="D278">
        <v>370.5</v>
      </c>
      <c r="E278">
        <v>-4.0322580000000004E-3</v>
      </c>
      <c r="F278">
        <v>1.3481076999999999E-2</v>
      </c>
      <c r="G278">
        <v>1.3481076999999999E-2</v>
      </c>
      <c r="H278">
        <v>1.5432981E-2</v>
      </c>
      <c r="I278">
        <v>2.4003634999999999E-2</v>
      </c>
      <c r="J278">
        <v>1</v>
      </c>
      <c r="K278">
        <v>0</v>
      </c>
      <c r="L278">
        <v>0</v>
      </c>
      <c r="M278">
        <v>5</v>
      </c>
      <c r="N278">
        <v>0.493322555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W278">
        <v>0</v>
      </c>
      <c r="X278">
        <v>0</v>
      </c>
      <c r="Y278">
        <v>0</v>
      </c>
      <c r="Z278">
        <v>2.4003634999999999E-2</v>
      </c>
      <c r="AA278">
        <v>0</v>
      </c>
      <c r="AB278" t="s">
        <v>33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f t="shared" si="4"/>
        <v>0</v>
      </c>
    </row>
    <row r="279" spans="1:34" x14ac:dyDescent="0.25">
      <c r="A279" s="1">
        <v>43895</v>
      </c>
      <c r="B279">
        <v>323</v>
      </c>
      <c r="C279">
        <v>7.8003120000000002E-3</v>
      </c>
      <c r="D279">
        <v>385</v>
      </c>
      <c r="E279">
        <v>3.9136301999999998E-2</v>
      </c>
      <c r="F279">
        <v>-3.1335990000000001E-2</v>
      </c>
      <c r="G279">
        <v>3.1335990000000001E-2</v>
      </c>
      <c r="H279">
        <v>1.4637294E-2</v>
      </c>
      <c r="I279">
        <v>3.0301280999999999E-2</v>
      </c>
      <c r="J279">
        <v>0</v>
      </c>
      <c r="K279">
        <v>1</v>
      </c>
      <c r="L279">
        <v>1</v>
      </c>
      <c r="M279">
        <v>5</v>
      </c>
      <c r="N279">
        <v>5.9803420200000001</v>
      </c>
      <c r="O279">
        <v>30</v>
      </c>
      <c r="P279">
        <v>-5</v>
      </c>
      <c r="Q279">
        <v>35</v>
      </c>
      <c r="R279">
        <v>-9690</v>
      </c>
      <c r="S279">
        <v>1925</v>
      </c>
      <c r="T279">
        <v>0</v>
      </c>
      <c r="U279">
        <v>0</v>
      </c>
      <c r="V279" t="s">
        <v>34</v>
      </c>
      <c r="W279">
        <v>-9690</v>
      </c>
      <c r="X279">
        <v>1925</v>
      </c>
      <c r="Y279">
        <v>0</v>
      </c>
      <c r="Z279">
        <v>3.0301280999999999E-2</v>
      </c>
      <c r="AA279">
        <v>11615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11615</v>
      </c>
      <c r="AH279">
        <f t="shared" si="4"/>
        <v>0</v>
      </c>
    </row>
    <row r="280" spans="1:34" x14ac:dyDescent="0.25">
      <c r="A280" s="1">
        <v>43896</v>
      </c>
      <c r="B280">
        <v>315</v>
      </c>
      <c r="C280">
        <v>-2.4767801999999998E-2</v>
      </c>
      <c r="D280">
        <v>378.5</v>
      </c>
      <c r="E280">
        <v>-1.6883117E-2</v>
      </c>
      <c r="F280">
        <v>-7.8846850000000007E-3</v>
      </c>
      <c r="G280">
        <v>7.8846850000000007E-3</v>
      </c>
      <c r="H280">
        <v>1.9036552000000002E-2</v>
      </c>
      <c r="I280">
        <v>2.2303527E-2</v>
      </c>
      <c r="J280">
        <v>0</v>
      </c>
      <c r="K280">
        <v>1</v>
      </c>
      <c r="L280">
        <v>0</v>
      </c>
      <c r="M280">
        <v>5</v>
      </c>
      <c r="N280">
        <v>0.81906900599999999</v>
      </c>
      <c r="O280">
        <v>-30</v>
      </c>
      <c r="P280">
        <v>5</v>
      </c>
      <c r="Q280">
        <v>35</v>
      </c>
      <c r="R280">
        <v>9450</v>
      </c>
      <c r="S280">
        <v>-1892.5</v>
      </c>
      <c r="T280">
        <v>-240</v>
      </c>
      <c r="U280">
        <v>32.5</v>
      </c>
      <c r="V280" t="s">
        <v>37</v>
      </c>
      <c r="W280">
        <v>0</v>
      </c>
      <c r="X280">
        <v>0</v>
      </c>
      <c r="Y280">
        <v>0</v>
      </c>
      <c r="Z280">
        <v>2.2303527E-2</v>
      </c>
      <c r="AA280">
        <v>11342.5</v>
      </c>
      <c r="AB280">
        <v>0</v>
      </c>
      <c r="AC280">
        <v>-207.5</v>
      </c>
      <c r="AD280">
        <v>-1.8294027000000001E-2</v>
      </c>
      <c r="AE280">
        <v>0</v>
      </c>
      <c r="AF280">
        <v>0</v>
      </c>
      <c r="AG280">
        <v>0</v>
      </c>
      <c r="AH280">
        <f t="shared" si="4"/>
        <v>0</v>
      </c>
    </row>
    <row r="281" spans="1:34" x14ac:dyDescent="0.25">
      <c r="A281" s="1">
        <v>43899</v>
      </c>
      <c r="B281">
        <v>305.5</v>
      </c>
      <c r="C281">
        <v>-3.0158730000000002E-2</v>
      </c>
      <c r="D281">
        <v>366.5</v>
      </c>
      <c r="E281">
        <v>-3.1704095000000002E-2</v>
      </c>
      <c r="F281">
        <v>1.5453649999999999E-3</v>
      </c>
      <c r="G281">
        <v>1.5453649999999999E-3</v>
      </c>
      <c r="H281">
        <v>2.2658593000000001E-2</v>
      </c>
      <c r="I281">
        <v>2.9271259000000001E-2</v>
      </c>
      <c r="J281">
        <v>1</v>
      </c>
      <c r="K281">
        <v>0</v>
      </c>
      <c r="L281">
        <v>-1</v>
      </c>
      <c r="M281">
        <v>5</v>
      </c>
      <c r="N281">
        <v>1.261145153</v>
      </c>
      <c r="O281">
        <v>-30</v>
      </c>
      <c r="P281">
        <v>5</v>
      </c>
      <c r="Q281">
        <v>35</v>
      </c>
      <c r="R281">
        <v>9165</v>
      </c>
      <c r="S281">
        <v>-1832.5</v>
      </c>
      <c r="T281">
        <v>-525</v>
      </c>
      <c r="U281">
        <v>92.5</v>
      </c>
      <c r="V281" t="s">
        <v>35</v>
      </c>
      <c r="W281">
        <v>9165</v>
      </c>
      <c r="X281">
        <v>-1832.5</v>
      </c>
      <c r="Y281">
        <v>-432.5</v>
      </c>
      <c r="Z281">
        <v>2.9271259000000001E-2</v>
      </c>
      <c r="AA281">
        <v>10997.5</v>
      </c>
      <c r="AB281">
        <v>0</v>
      </c>
      <c r="AC281">
        <v>-432.5</v>
      </c>
      <c r="AD281">
        <v>-3.932712E-2</v>
      </c>
      <c r="AE281">
        <v>1</v>
      </c>
      <c r="AF281">
        <v>-432.5</v>
      </c>
      <c r="AG281">
        <v>0</v>
      </c>
      <c r="AH281">
        <f t="shared" si="4"/>
        <v>-3.9327119799954534E-2</v>
      </c>
    </row>
    <row r="282" spans="1:34" x14ac:dyDescent="0.25">
      <c r="A282" s="1">
        <v>43900</v>
      </c>
      <c r="B282">
        <v>307</v>
      </c>
      <c r="C282">
        <v>4.909984E-3</v>
      </c>
      <c r="D282">
        <v>373.5</v>
      </c>
      <c r="E282">
        <v>1.9099590999999999E-2</v>
      </c>
      <c r="F282">
        <v>-1.4189607E-2</v>
      </c>
      <c r="G282">
        <v>1.4189607E-2</v>
      </c>
      <c r="H282">
        <v>1.9251528E-2</v>
      </c>
      <c r="I282">
        <v>2.8269170999999999E-2</v>
      </c>
      <c r="J282">
        <v>0</v>
      </c>
      <c r="K282">
        <v>0</v>
      </c>
      <c r="L282">
        <v>0</v>
      </c>
      <c r="M282">
        <v>5</v>
      </c>
      <c r="N282">
        <v>4.7325612919999998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W282">
        <v>0</v>
      </c>
      <c r="X282">
        <v>0</v>
      </c>
      <c r="Y282">
        <v>0</v>
      </c>
      <c r="Z282">
        <v>2.8269170999999999E-2</v>
      </c>
      <c r="AA282">
        <v>0</v>
      </c>
      <c r="AB282" t="s">
        <v>33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f t="shared" si="4"/>
        <v>0</v>
      </c>
    </row>
    <row r="283" spans="1:34" x14ac:dyDescent="0.25">
      <c r="A283" s="1">
        <v>43901</v>
      </c>
      <c r="B283">
        <v>302</v>
      </c>
      <c r="C283">
        <v>-1.6286644999999999E-2</v>
      </c>
      <c r="D283">
        <v>363</v>
      </c>
      <c r="E283">
        <v>-2.8112450000000001E-2</v>
      </c>
      <c r="F283">
        <v>1.1825805E-2</v>
      </c>
      <c r="G283">
        <v>1.1825805E-2</v>
      </c>
      <c r="H283">
        <v>1.7238643000000001E-2</v>
      </c>
      <c r="I283">
        <v>3.1260044000000001E-2</v>
      </c>
      <c r="J283">
        <v>1</v>
      </c>
      <c r="K283">
        <v>0</v>
      </c>
      <c r="L283">
        <v>0</v>
      </c>
      <c r="M283">
        <v>5</v>
      </c>
      <c r="N283">
        <v>2.0747546479999999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W283">
        <v>0</v>
      </c>
      <c r="X283">
        <v>0</v>
      </c>
      <c r="Y283">
        <v>0</v>
      </c>
      <c r="Z283">
        <v>3.1260044000000001E-2</v>
      </c>
      <c r="AA283">
        <v>0</v>
      </c>
      <c r="AB283" t="s">
        <v>33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f t="shared" si="4"/>
        <v>0</v>
      </c>
    </row>
    <row r="284" spans="1:34" x14ac:dyDescent="0.25">
      <c r="A284" s="1">
        <v>43902</v>
      </c>
      <c r="B284">
        <v>294</v>
      </c>
      <c r="C284">
        <v>-2.6490066E-2</v>
      </c>
      <c r="D284">
        <v>336</v>
      </c>
      <c r="E284">
        <v>-7.4380164999999998E-2</v>
      </c>
      <c r="F284">
        <v>4.7890098999999998E-2</v>
      </c>
      <c r="G284">
        <v>4.7890098999999998E-2</v>
      </c>
      <c r="H284">
        <v>1.4070905999999999E-2</v>
      </c>
      <c r="I284">
        <v>3.3518449999999998E-2</v>
      </c>
      <c r="J284">
        <v>1</v>
      </c>
      <c r="K284">
        <v>1</v>
      </c>
      <c r="L284">
        <v>1</v>
      </c>
      <c r="M284">
        <v>5</v>
      </c>
      <c r="N284">
        <v>3.2089728449999999</v>
      </c>
      <c r="O284">
        <v>-17</v>
      </c>
      <c r="P284">
        <v>5</v>
      </c>
      <c r="Q284">
        <v>22</v>
      </c>
      <c r="R284">
        <v>4998</v>
      </c>
      <c r="S284">
        <v>-1680</v>
      </c>
      <c r="T284">
        <v>0</v>
      </c>
      <c r="U284">
        <v>0</v>
      </c>
      <c r="V284" t="s">
        <v>34</v>
      </c>
      <c r="W284">
        <v>4998</v>
      </c>
      <c r="X284">
        <v>-1680</v>
      </c>
      <c r="Y284">
        <v>0</v>
      </c>
      <c r="Z284">
        <v>3.3518449999999998E-2</v>
      </c>
      <c r="AA284">
        <v>6678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6678</v>
      </c>
      <c r="AH284">
        <f t="shared" si="4"/>
        <v>0</v>
      </c>
    </row>
    <row r="285" spans="1:34" x14ac:dyDescent="0.25">
      <c r="A285" s="1">
        <v>43903</v>
      </c>
      <c r="B285">
        <v>290</v>
      </c>
      <c r="C285">
        <v>-1.3605442000000001E-2</v>
      </c>
      <c r="D285">
        <v>341</v>
      </c>
      <c r="E285">
        <v>1.4880951999999999E-2</v>
      </c>
      <c r="F285">
        <v>-2.8486395000000001E-2</v>
      </c>
      <c r="G285">
        <v>2.8486395000000001E-2</v>
      </c>
      <c r="H285">
        <v>1.3720629E-2</v>
      </c>
      <c r="I285">
        <v>3.8423460999999999E-2</v>
      </c>
      <c r="J285">
        <v>0</v>
      </c>
      <c r="K285">
        <v>0</v>
      </c>
      <c r="L285">
        <v>-1</v>
      </c>
      <c r="M285">
        <v>5</v>
      </c>
      <c r="N285">
        <v>1.286099138</v>
      </c>
      <c r="O285">
        <v>17</v>
      </c>
      <c r="P285">
        <v>-5</v>
      </c>
      <c r="Q285">
        <v>22</v>
      </c>
      <c r="R285">
        <v>-4930</v>
      </c>
      <c r="S285">
        <v>1705</v>
      </c>
      <c r="T285">
        <v>68</v>
      </c>
      <c r="U285">
        <v>25</v>
      </c>
      <c r="V285" t="s">
        <v>35</v>
      </c>
      <c r="W285">
        <v>-4930</v>
      </c>
      <c r="X285">
        <v>1705</v>
      </c>
      <c r="Y285">
        <v>93</v>
      </c>
      <c r="Z285">
        <v>3.8423460999999999E-2</v>
      </c>
      <c r="AA285">
        <v>6635</v>
      </c>
      <c r="AB285">
        <v>0</v>
      </c>
      <c r="AC285">
        <v>93</v>
      </c>
      <c r="AD285">
        <v>1.4016578999999999E-2</v>
      </c>
      <c r="AE285">
        <v>0</v>
      </c>
      <c r="AF285">
        <v>93</v>
      </c>
      <c r="AG285">
        <v>0</v>
      </c>
      <c r="AH285">
        <f t="shared" si="4"/>
        <v>1.4016578749058026E-2</v>
      </c>
    </row>
    <row r="286" spans="1:34" x14ac:dyDescent="0.25">
      <c r="A286" s="1">
        <v>43906</v>
      </c>
      <c r="B286">
        <v>276.5</v>
      </c>
      <c r="C286">
        <v>-4.6551724000000003E-2</v>
      </c>
      <c r="D286">
        <v>320</v>
      </c>
      <c r="E286">
        <v>-6.1583578E-2</v>
      </c>
      <c r="F286">
        <v>1.5031854000000001E-2</v>
      </c>
      <c r="G286">
        <v>1.5031854000000001E-2</v>
      </c>
      <c r="H286">
        <v>1.8851529999999998E-2</v>
      </c>
      <c r="I286">
        <v>4.2768321999999998E-2</v>
      </c>
      <c r="J286">
        <v>1</v>
      </c>
      <c r="K286">
        <v>0</v>
      </c>
      <c r="L286">
        <v>0</v>
      </c>
      <c r="M286">
        <v>5</v>
      </c>
      <c r="N286">
        <v>1.5310310119999999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W286">
        <v>0</v>
      </c>
      <c r="X286">
        <v>0</v>
      </c>
      <c r="Y286">
        <v>0</v>
      </c>
      <c r="Z286">
        <v>4.2768321999999998E-2</v>
      </c>
      <c r="AA286">
        <v>0</v>
      </c>
      <c r="AB286" t="s">
        <v>33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f t="shared" si="4"/>
        <v>0</v>
      </c>
    </row>
    <row r="287" spans="1:34" x14ac:dyDescent="0.25">
      <c r="A287" s="1">
        <v>43907</v>
      </c>
      <c r="B287">
        <v>268</v>
      </c>
      <c r="C287">
        <v>-3.074141E-2</v>
      </c>
      <c r="D287">
        <v>315.5</v>
      </c>
      <c r="E287">
        <v>-1.40625E-2</v>
      </c>
      <c r="F287">
        <v>-1.6678910000000002E-2</v>
      </c>
      <c r="G287">
        <v>1.6678910000000002E-2</v>
      </c>
      <c r="H287">
        <v>1.3137421E-2</v>
      </c>
      <c r="I287">
        <v>3.6068804000000003E-2</v>
      </c>
      <c r="J287">
        <v>0</v>
      </c>
      <c r="K287">
        <v>0</v>
      </c>
      <c r="L287">
        <v>0</v>
      </c>
      <c r="M287">
        <v>5</v>
      </c>
      <c r="N287">
        <v>0.53852183200000003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W287">
        <v>0</v>
      </c>
      <c r="X287">
        <v>0</v>
      </c>
      <c r="Y287">
        <v>0</v>
      </c>
      <c r="Z287">
        <v>3.6068804000000003E-2</v>
      </c>
      <c r="AA287">
        <v>0</v>
      </c>
      <c r="AB287" t="s">
        <v>33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f t="shared" si="4"/>
        <v>0</v>
      </c>
    </row>
    <row r="288" spans="1:34" x14ac:dyDescent="0.25">
      <c r="A288" s="1">
        <v>43908</v>
      </c>
      <c r="B288">
        <v>260</v>
      </c>
      <c r="C288">
        <v>-2.9850746000000001E-2</v>
      </c>
      <c r="D288">
        <v>301.5</v>
      </c>
      <c r="E288">
        <v>-4.4374009999999998E-2</v>
      </c>
      <c r="F288">
        <v>1.4523263E-2</v>
      </c>
      <c r="G288">
        <v>1.4523263E-2</v>
      </c>
      <c r="H288">
        <v>1.1769755E-2</v>
      </c>
      <c r="I288">
        <v>3.6289665999999998E-2</v>
      </c>
      <c r="J288">
        <v>1</v>
      </c>
      <c r="K288">
        <v>0</v>
      </c>
      <c r="L288">
        <v>0</v>
      </c>
      <c r="M288">
        <v>5</v>
      </c>
      <c r="N288">
        <v>1.7238022669999999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W288">
        <v>0</v>
      </c>
      <c r="X288">
        <v>0</v>
      </c>
      <c r="Y288">
        <v>0</v>
      </c>
      <c r="Z288">
        <v>3.6289665999999998E-2</v>
      </c>
      <c r="AA288">
        <v>0</v>
      </c>
      <c r="AB288" t="s">
        <v>33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f t="shared" si="4"/>
        <v>0</v>
      </c>
    </row>
    <row r="289" spans="1:34" x14ac:dyDescent="0.25">
      <c r="A289" s="1">
        <v>43909</v>
      </c>
      <c r="B289">
        <v>248</v>
      </c>
      <c r="C289">
        <v>-4.6153845999999998E-2</v>
      </c>
      <c r="D289">
        <v>274</v>
      </c>
      <c r="E289">
        <v>-9.1210613999999995E-2</v>
      </c>
      <c r="F289">
        <v>4.5056766999999998E-2</v>
      </c>
      <c r="G289">
        <v>4.5056766999999998E-2</v>
      </c>
      <c r="H289">
        <v>1.3666714999999999E-2</v>
      </c>
      <c r="I289">
        <v>4.1199264999999999E-2</v>
      </c>
      <c r="J289">
        <v>1</v>
      </c>
      <c r="K289">
        <v>1</v>
      </c>
      <c r="L289">
        <v>1</v>
      </c>
      <c r="M289">
        <v>5</v>
      </c>
      <c r="N289">
        <v>2.1834153600000001</v>
      </c>
      <c r="O289">
        <v>-11</v>
      </c>
      <c r="P289">
        <v>5</v>
      </c>
      <c r="Q289">
        <v>16</v>
      </c>
      <c r="R289">
        <v>2728</v>
      </c>
      <c r="S289">
        <v>-1370</v>
      </c>
      <c r="T289">
        <v>0</v>
      </c>
      <c r="U289">
        <v>0</v>
      </c>
      <c r="V289" t="s">
        <v>34</v>
      </c>
      <c r="W289">
        <v>2728</v>
      </c>
      <c r="X289">
        <v>-1370</v>
      </c>
      <c r="Y289">
        <v>0</v>
      </c>
      <c r="Z289">
        <v>4.1199264999999999E-2</v>
      </c>
      <c r="AA289">
        <v>4098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4098</v>
      </c>
      <c r="AH289">
        <f t="shared" si="4"/>
        <v>0</v>
      </c>
    </row>
    <row r="290" spans="1:34" x14ac:dyDescent="0.25">
      <c r="A290" s="1">
        <v>43910</v>
      </c>
      <c r="B290">
        <v>270</v>
      </c>
      <c r="C290">
        <v>8.8709677000000001E-2</v>
      </c>
      <c r="D290">
        <v>301</v>
      </c>
      <c r="E290">
        <v>9.8540145999999995E-2</v>
      </c>
      <c r="F290">
        <v>-9.8304689999999997E-3</v>
      </c>
      <c r="G290">
        <v>9.8304689999999997E-3</v>
      </c>
      <c r="H290">
        <v>5.7376879999999998E-2</v>
      </c>
      <c r="I290">
        <v>7.3227467000000004E-2</v>
      </c>
      <c r="J290">
        <v>0</v>
      </c>
      <c r="K290">
        <v>0</v>
      </c>
      <c r="L290">
        <v>-1</v>
      </c>
      <c r="M290">
        <v>5</v>
      </c>
      <c r="N290">
        <v>1.2383543459999999</v>
      </c>
      <c r="O290">
        <v>11</v>
      </c>
      <c r="P290">
        <v>-5</v>
      </c>
      <c r="Q290">
        <v>16</v>
      </c>
      <c r="R290">
        <v>-2970</v>
      </c>
      <c r="S290">
        <v>1505</v>
      </c>
      <c r="T290">
        <v>-242</v>
      </c>
      <c r="U290">
        <v>135</v>
      </c>
      <c r="V290" t="s">
        <v>35</v>
      </c>
      <c r="W290">
        <v>-2970</v>
      </c>
      <c r="X290">
        <v>1505</v>
      </c>
      <c r="Y290">
        <v>-107</v>
      </c>
      <c r="Z290">
        <v>7.3227467000000004E-2</v>
      </c>
      <c r="AA290">
        <v>4475</v>
      </c>
      <c r="AB290">
        <v>0</v>
      </c>
      <c r="AC290">
        <v>-107</v>
      </c>
      <c r="AD290">
        <v>-2.3910615E-2</v>
      </c>
      <c r="AE290">
        <v>0</v>
      </c>
      <c r="AF290">
        <v>-107</v>
      </c>
      <c r="AG290">
        <v>0</v>
      </c>
      <c r="AH290">
        <f t="shared" si="4"/>
        <v>-2.3910614525139665E-2</v>
      </c>
    </row>
    <row r="291" spans="1:34" x14ac:dyDescent="0.25">
      <c r="A291" s="1">
        <v>43913</v>
      </c>
      <c r="B291">
        <v>255</v>
      </c>
      <c r="C291">
        <v>-5.5555555999999999E-2</v>
      </c>
      <c r="D291">
        <v>308</v>
      </c>
      <c r="E291">
        <v>2.3255814E-2</v>
      </c>
      <c r="F291">
        <v>-7.8811370000000006E-2</v>
      </c>
      <c r="G291">
        <v>7.8811370000000006E-2</v>
      </c>
      <c r="H291">
        <v>5.8819538999999997E-2</v>
      </c>
      <c r="I291">
        <v>7.1732208000000006E-2</v>
      </c>
      <c r="J291">
        <v>0</v>
      </c>
      <c r="K291">
        <v>1</v>
      </c>
      <c r="L291">
        <v>1</v>
      </c>
      <c r="M291">
        <v>5</v>
      </c>
      <c r="N291">
        <v>0.50560875500000002</v>
      </c>
      <c r="O291">
        <v>3</v>
      </c>
      <c r="P291">
        <v>-5</v>
      </c>
      <c r="Q291">
        <v>8</v>
      </c>
      <c r="R291">
        <v>-765</v>
      </c>
      <c r="S291">
        <v>1540</v>
      </c>
      <c r="T291">
        <v>0</v>
      </c>
      <c r="U291">
        <v>0</v>
      </c>
      <c r="V291" t="s">
        <v>34</v>
      </c>
      <c r="W291">
        <v>-765</v>
      </c>
      <c r="X291">
        <v>1540</v>
      </c>
      <c r="Y291">
        <v>0</v>
      </c>
      <c r="Z291">
        <v>7.1732208000000006E-2</v>
      </c>
      <c r="AA291">
        <v>2305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2305</v>
      </c>
      <c r="AH291">
        <f t="shared" si="4"/>
        <v>0</v>
      </c>
    </row>
    <row r="292" spans="1:34" x14ac:dyDescent="0.25">
      <c r="A292" s="1">
        <v>43914</v>
      </c>
      <c r="B292">
        <v>267.5</v>
      </c>
      <c r="C292">
        <v>4.9019607999999999E-2</v>
      </c>
      <c r="D292">
        <v>330</v>
      </c>
      <c r="E292">
        <v>7.1428570999999996E-2</v>
      </c>
      <c r="F292">
        <v>-2.2408964E-2</v>
      </c>
      <c r="G292">
        <v>2.2408964E-2</v>
      </c>
      <c r="H292">
        <v>6.3977303999999999E-2</v>
      </c>
      <c r="I292">
        <v>7.9020552999999993E-2</v>
      </c>
      <c r="J292">
        <v>0</v>
      </c>
      <c r="K292">
        <v>1</v>
      </c>
      <c r="L292">
        <v>0</v>
      </c>
      <c r="M292">
        <v>5</v>
      </c>
      <c r="N292">
        <v>1.7975967960000001</v>
      </c>
      <c r="O292">
        <v>-3</v>
      </c>
      <c r="P292">
        <v>5</v>
      </c>
      <c r="Q292">
        <v>8</v>
      </c>
      <c r="R292">
        <v>802.5</v>
      </c>
      <c r="S292">
        <v>-1650</v>
      </c>
      <c r="T292">
        <v>37.5</v>
      </c>
      <c r="U292">
        <v>-110</v>
      </c>
      <c r="V292" t="s">
        <v>37</v>
      </c>
      <c r="W292">
        <v>0</v>
      </c>
      <c r="X292">
        <v>0</v>
      </c>
      <c r="Y292">
        <v>0</v>
      </c>
      <c r="Z292">
        <v>7.9020552999999993E-2</v>
      </c>
      <c r="AA292">
        <v>2452.5</v>
      </c>
      <c r="AB292">
        <v>0</v>
      </c>
      <c r="AC292">
        <v>-72.5</v>
      </c>
      <c r="AD292">
        <v>-2.9561672000000001E-2</v>
      </c>
      <c r="AE292">
        <v>0</v>
      </c>
      <c r="AF292">
        <v>0</v>
      </c>
      <c r="AG292">
        <v>0</v>
      </c>
      <c r="AH292">
        <f t="shared" si="4"/>
        <v>0</v>
      </c>
    </row>
    <row r="293" spans="1:34" x14ac:dyDescent="0.25">
      <c r="A293" s="1">
        <v>43915</v>
      </c>
      <c r="B293">
        <v>277</v>
      </c>
      <c r="C293">
        <v>3.5514019000000001E-2</v>
      </c>
      <c r="D293">
        <v>334.5</v>
      </c>
      <c r="E293">
        <v>1.3636364E-2</v>
      </c>
      <c r="F293">
        <v>2.1877654999999999E-2</v>
      </c>
      <c r="G293">
        <v>2.1877654999999999E-2</v>
      </c>
      <c r="H293">
        <v>6.2703173000000001E-2</v>
      </c>
      <c r="I293">
        <v>7.2772527000000004E-2</v>
      </c>
      <c r="J293">
        <v>1</v>
      </c>
      <c r="K293">
        <v>0</v>
      </c>
      <c r="L293">
        <v>-1</v>
      </c>
      <c r="M293">
        <v>5</v>
      </c>
      <c r="N293">
        <v>0.46367652399999998</v>
      </c>
      <c r="O293">
        <v>-3</v>
      </c>
      <c r="P293">
        <v>5</v>
      </c>
      <c r="Q293">
        <v>8</v>
      </c>
      <c r="R293">
        <v>831</v>
      </c>
      <c r="S293">
        <v>-1672.5</v>
      </c>
      <c r="T293">
        <v>66</v>
      </c>
      <c r="U293">
        <v>-132.5</v>
      </c>
      <c r="V293" t="s">
        <v>35</v>
      </c>
      <c r="W293">
        <v>831</v>
      </c>
      <c r="X293">
        <v>-1672.5</v>
      </c>
      <c r="Y293">
        <v>-66.5</v>
      </c>
      <c r="Z293">
        <v>7.2772527000000004E-2</v>
      </c>
      <c r="AA293">
        <v>2503.5</v>
      </c>
      <c r="AB293">
        <v>0</v>
      </c>
      <c r="AC293">
        <v>-66.5</v>
      </c>
      <c r="AD293">
        <v>-2.6562812000000002E-2</v>
      </c>
      <c r="AE293">
        <v>0</v>
      </c>
      <c r="AF293">
        <v>-66.5</v>
      </c>
      <c r="AG293">
        <v>0</v>
      </c>
      <c r="AH293">
        <f t="shared" si="4"/>
        <v>-2.6562812063111643E-2</v>
      </c>
    </row>
    <row r="294" spans="1:34" x14ac:dyDescent="0.25">
      <c r="A294" s="1">
        <v>43916</v>
      </c>
      <c r="B294">
        <v>280</v>
      </c>
      <c r="C294">
        <v>1.0830325E-2</v>
      </c>
      <c r="D294">
        <v>343.5</v>
      </c>
      <c r="E294">
        <v>2.6905829999999999E-2</v>
      </c>
      <c r="F294">
        <v>-1.6075505E-2</v>
      </c>
      <c r="G294">
        <v>1.6075505E-2</v>
      </c>
      <c r="H294">
        <v>5.3464734E-2</v>
      </c>
      <c r="I294">
        <v>3.6515516999999997E-2</v>
      </c>
      <c r="J294">
        <v>0</v>
      </c>
      <c r="K294">
        <v>0</v>
      </c>
      <c r="L294">
        <v>0</v>
      </c>
      <c r="M294">
        <v>5</v>
      </c>
      <c r="N294">
        <v>3.0477098009999999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W294">
        <v>0</v>
      </c>
      <c r="X294">
        <v>0</v>
      </c>
      <c r="Y294">
        <v>0</v>
      </c>
      <c r="Z294">
        <v>5.3464734E-2</v>
      </c>
      <c r="AA294">
        <v>0</v>
      </c>
      <c r="AB294" t="s">
        <v>33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f t="shared" si="4"/>
        <v>0</v>
      </c>
    </row>
    <row r="295" spans="1:34" x14ac:dyDescent="0.25">
      <c r="A295" s="1">
        <v>43917</v>
      </c>
      <c r="B295">
        <v>273</v>
      </c>
      <c r="C295">
        <v>-2.5000000000000001E-2</v>
      </c>
      <c r="D295">
        <v>340</v>
      </c>
      <c r="E295">
        <v>-1.0189228999999999E-2</v>
      </c>
      <c r="F295">
        <v>-1.4810771E-2</v>
      </c>
      <c r="G295">
        <v>1.4810771E-2</v>
      </c>
      <c r="H295">
        <v>4.3153867999999998E-2</v>
      </c>
      <c r="I295">
        <v>2.9705641000000001E-2</v>
      </c>
      <c r="J295">
        <v>0</v>
      </c>
      <c r="K295">
        <v>0</v>
      </c>
      <c r="L295">
        <v>0</v>
      </c>
      <c r="M295">
        <v>5</v>
      </c>
      <c r="N295">
        <v>0.50759526700000002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W295">
        <v>0</v>
      </c>
      <c r="X295">
        <v>0</v>
      </c>
      <c r="Y295">
        <v>0</v>
      </c>
      <c r="Z295">
        <v>4.3153867999999998E-2</v>
      </c>
      <c r="AA295">
        <v>0</v>
      </c>
      <c r="AB295" t="s">
        <v>33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f t="shared" si="4"/>
        <v>0</v>
      </c>
    </row>
    <row r="296" spans="1:34" x14ac:dyDescent="0.25">
      <c r="A296" s="1">
        <v>43920</v>
      </c>
      <c r="B296">
        <v>267.5</v>
      </c>
      <c r="C296">
        <v>-2.0146520000000001E-2</v>
      </c>
      <c r="D296">
        <v>336.5</v>
      </c>
      <c r="E296">
        <v>-1.0294118E-2</v>
      </c>
      <c r="F296">
        <v>-9.8524019999999997E-3</v>
      </c>
      <c r="G296">
        <v>9.8524019999999997E-3</v>
      </c>
      <c r="H296">
        <v>3.2817631E-2</v>
      </c>
      <c r="I296">
        <v>3.3718373000000003E-2</v>
      </c>
      <c r="J296">
        <v>0</v>
      </c>
      <c r="K296">
        <v>0</v>
      </c>
      <c r="L296">
        <v>0</v>
      </c>
      <c r="M296">
        <v>5</v>
      </c>
      <c r="N296">
        <v>0.642762257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W296">
        <v>0</v>
      </c>
      <c r="X296">
        <v>0</v>
      </c>
      <c r="Y296">
        <v>0</v>
      </c>
      <c r="Z296">
        <v>3.3718373000000003E-2</v>
      </c>
      <c r="AA296">
        <v>0</v>
      </c>
      <c r="AB296" t="s">
        <v>33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f t="shared" si="4"/>
        <v>0</v>
      </c>
    </row>
    <row r="297" spans="1:34" x14ac:dyDescent="0.25">
      <c r="A297" s="1">
        <v>43921</v>
      </c>
      <c r="B297">
        <v>274</v>
      </c>
      <c r="C297">
        <v>2.4299065000000002E-2</v>
      </c>
      <c r="D297">
        <v>327.5</v>
      </c>
      <c r="E297">
        <v>-2.6745913999999999E-2</v>
      </c>
      <c r="F297">
        <v>5.1044978999999997E-2</v>
      </c>
      <c r="G297">
        <v>5.1044978999999997E-2</v>
      </c>
      <c r="H297">
        <v>2.6785491000000002E-2</v>
      </c>
      <c r="I297">
        <v>2.1366234000000001E-2</v>
      </c>
      <c r="J297">
        <v>1</v>
      </c>
      <c r="K297">
        <v>1</v>
      </c>
      <c r="L297">
        <v>1</v>
      </c>
      <c r="M297">
        <v>5</v>
      </c>
      <c r="N297">
        <v>1.3156143810000001</v>
      </c>
      <c r="O297">
        <v>-7</v>
      </c>
      <c r="P297">
        <v>5</v>
      </c>
      <c r="Q297">
        <v>12</v>
      </c>
      <c r="R297">
        <v>1918</v>
      </c>
      <c r="S297">
        <v>-1637.5</v>
      </c>
      <c r="T297">
        <v>0</v>
      </c>
      <c r="U297">
        <v>0</v>
      </c>
      <c r="V297" t="s">
        <v>34</v>
      </c>
      <c r="W297">
        <v>1918</v>
      </c>
      <c r="X297">
        <v>-1637.5</v>
      </c>
      <c r="Y297">
        <v>0</v>
      </c>
      <c r="Z297">
        <v>2.6785491000000002E-2</v>
      </c>
      <c r="AA297">
        <v>3555.5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3555.5</v>
      </c>
      <c r="AH297">
        <f t="shared" si="4"/>
        <v>0</v>
      </c>
    </row>
    <row r="298" spans="1:34" x14ac:dyDescent="0.25">
      <c r="A298" s="1">
        <v>43922</v>
      </c>
      <c r="B298">
        <v>271.5</v>
      </c>
      <c r="C298">
        <v>-9.1240880000000007E-3</v>
      </c>
      <c r="D298">
        <v>334</v>
      </c>
      <c r="E298">
        <v>1.9847328000000001E-2</v>
      </c>
      <c r="F298">
        <v>-2.8971416E-2</v>
      </c>
      <c r="G298">
        <v>2.8971416E-2</v>
      </c>
      <c r="H298">
        <v>2.0908099999999999E-2</v>
      </c>
      <c r="I298">
        <v>2.2599379999999999E-2</v>
      </c>
      <c r="J298">
        <v>0</v>
      </c>
      <c r="K298">
        <v>0</v>
      </c>
      <c r="L298">
        <v>-1</v>
      </c>
      <c r="M298">
        <v>5</v>
      </c>
      <c r="N298">
        <v>2.676019288</v>
      </c>
      <c r="O298">
        <v>7</v>
      </c>
      <c r="P298">
        <v>-5</v>
      </c>
      <c r="Q298">
        <v>12</v>
      </c>
      <c r="R298">
        <v>-1900.5</v>
      </c>
      <c r="S298">
        <v>1670</v>
      </c>
      <c r="T298">
        <v>17.5</v>
      </c>
      <c r="U298">
        <v>32.5</v>
      </c>
      <c r="V298" t="s">
        <v>35</v>
      </c>
      <c r="W298">
        <v>-1900.5</v>
      </c>
      <c r="X298">
        <v>1670</v>
      </c>
      <c r="Y298">
        <v>50</v>
      </c>
      <c r="Z298">
        <v>2.2599379999999999E-2</v>
      </c>
      <c r="AA298">
        <v>3570.5</v>
      </c>
      <c r="AB298">
        <v>0</v>
      </c>
      <c r="AC298">
        <v>50</v>
      </c>
      <c r="AD298">
        <v>1.4003641000000001E-2</v>
      </c>
      <c r="AE298">
        <v>0</v>
      </c>
      <c r="AF298">
        <v>50</v>
      </c>
      <c r="AG298">
        <v>0</v>
      </c>
      <c r="AH298">
        <f t="shared" si="4"/>
        <v>1.4003640946646127E-2</v>
      </c>
    </row>
    <row r="299" spans="1:34" x14ac:dyDescent="0.25">
      <c r="A299" s="1">
        <v>43927</v>
      </c>
      <c r="B299">
        <v>275.5</v>
      </c>
      <c r="C299">
        <v>1.4732965000000001E-2</v>
      </c>
      <c r="D299">
        <v>341</v>
      </c>
      <c r="E299">
        <v>2.0958083999999998E-2</v>
      </c>
      <c r="F299">
        <v>-6.2251190000000003E-3</v>
      </c>
      <c r="G299">
        <v>6.2251190000000003E-3</v>
      </c>
      <c r="H299">
        <v>2.1651751E-2</v>
      </c>
      <c r="I299">
        <v>2.0916726E-2</v>
      </c>
      <c r="J299">
        <v>0</v>
      </c>
      <c r="K299">
        <v>0</v>
      </c>
      <c r="L299">
        <v>0</v>
      </c>
      <c r="M299">
        <v>5</v>
      </c>
      <c r="N299">
        <v>1.7607357880000001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W299">
        <v>0</v>
      </c>
      <c r="X299">
        <v>0</v>
      </c>
      <c r="Y299">
        <v>0</v>
      </c>
      <c r="Z299">
        <v>2.1651751E-2</v>
      </c>
      <c r="AA299">
        <v>0</v>
      </c>
      <c r="AB299" t="s">
        <v>33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f t="shared" si="4"/>
        <v>0</v>
      </c>
    </row>
    <row r="300" spans="1:34" x14ac:dyDescent="0.25">
      <c r="A300" s="1">
        <v>43928</v>
      </c>
      <c r="B300">
        <v>283</v>
      </c>
      <c r="C300">
        <v>2.7223230000000001E-2</v>
      </c>
      <c r="D300">
        <v>347</v>
      </c>
      <c r="E300">
        <v>1.7595308E-2</v>
      </c>
      <c r="F300">
        <v>9.627923E-3</v>
      </c>
      <c r="G300">
        <v>9.627923E-3</v>
      </c>
      <c r="H300">
        <v>2.1000997E-2</v>
      </c>
      <c r="I300">
        <v>2.1637984999999998E-2</v>
      </c>
      <c r="J300">
        <v>1</v>
      </c>
      <c r="K300">
        <v>0</v>
      </c>
      <c r="L300">
        <v>0</v>
      </c>
      <c r="M300">
        <v>5</v>
      </c>
      <c r="N300">
        <v>0.79250178800000004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W300">
        <v>0</v>
      </c>
      <c r="X300">
        <v>0</v>
      </c>
      <c r="Y300">
        <v>0</v>
      </c>
      <c r="Z300">
        <v>2.1637984999999998E-2</v>
      </c>
      <c r="AA300">
        <v>0</v>
      </c>
      <c r="AB300" t="s">
        <v>33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f t="shared" si="4"/>
        <v>0</v>
      </c>
    </row>
    <row r="301" spans="1:34" x14ac:dyDescent="0.25">
      <c r="A301" s="1">
        <v>43929</v>
      </c>
      <c r="B301">
        <v>285</v>
      </c>
      <c r="C301">
        <v>7.0671379999999997E-3</v>
      </c>
      <c r="D301">
        <v>349.5</v>
      </c>
      <c r="E301">
        <v>7.2046109999999997E-3</v>
      </c>
      <c r="F301">
        <v>-1.3747299999999999E-4</v>
      </c>
      <c r="G301">
        <v>1.3747299999999999E-4</v>
      </c>
      <c r="H301">
        <v>1.4641703000000001E-2</v>
      </c>
      <c r="I301">
        <v>2.0049887999999998E-2</v>
      </c>
      <c r="J301">
        <v>0</v>
      </c>
      <c r="K301">
        <v>0</v>
      </c>
      <c r="L301">
        <v>0</v>
      </c>
      <c r="M301">
        <v>5</v>
      </c>
      <c r="N301">
        <v>1.250170636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W301">
        <v>0</v>
      </c>
      <c r="X301">
        <v>0</v>
      </c>
      <c r="Y301">
        <v>0</v>
      </c>
      <c r="Z301">
        <v>2.0049887999999998E-2</v>
      </c>
      <c r="AA301">
        <v>0</v>
      </c>
      <c r="AB301" t="s">
        <v>33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f t="shared" si="4"/>
        <v>0</v>
      </c>
    </row>
    <row r="302" spans="1:34" x14ac:dyDescent="0.25">
      <c r="A302" s="1">
        <v>43930</v>
      </c>
      <c r="B302">
        <v>283</v>
      </c>
      <c r="C302">
        <v>-7.0175439999999997E-3</v>
      </c>
      <c r="D302">
        <v>351.5</v>
      </c>
      <c r="E302">
        <v>5.7224609999999999E-3</v>
      </c>
      <c r="F302">
        <v>-1.2740005E-2</v>
      </c>
      <c r="G302">
        <v>1.2740005E-2</v>
      </c>
      <c r="H302">
        <v>1.5201666000000001E-2</v>
      </c>
      <c r="I302">
        <v>7.2435279999999999E-3</v>
      </c>
      <c r="J302">
        <v>0</v>
      </c>
      <c r="K302">
        <v>0</v>
      </c>
      <c r="L302">
        <v>0</v>
      </c>
      <c r="M302">
        <v>5</v>
      </c>
      <c r="N302">
        <v>1.0128300400000001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W302">
        <v>0</v>
      </c>
      <c r="X302">
        <v>0</v>
      </c>
      <c r="Y302">
        <v>0</v>
      </c>
      <c r="Z302">
        <v>1.5201666000000001E-2</v>
      </c>
      <c r="AA302">
        <v>0</v>
      </c>
      <c r="AB302" t="s">
        <v>33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f t="shared" si="4"/>
        <v>0</v>
      </c>
    </row>
    <row r="303" spans="1:34" x14ac:dyDescent="0.25">
      <c r="A303" s="1">
        <v>43931</v>
      </c>
      <c r="B303">
        <v>279.5</v>
      </c>
      <c r="C303">
        <v>-1.2367491E-2</v>
      </c>
      <c r="D303">
        <v>350</v>
      </c>
      <c r="E303">
        <v>-4.267425E-3</v>
      </c>
      <c r="F303">
        <v>-8.1000659999999995E-3</v>
      </c>
      <c r="G303">
        <v>8.1000659999999995E-3</v>
      </c>
      <c r="H303">
        <v>1.6082786000000002E-2</v>
      </c>
      <c r="I303">
        <v>1.0073304E-2</v>
      </c>
      <c r="J303">
        <v>0</v>
      </c>
      <c r="K303">
        <v>0</v>
      </c>
      <c r="L303">
        <v>0</v>
      </c>
      <c r="M303">
        <v>5</v>
      </c>
      <c r="N303">
        <v>0.432086356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W303">
        <v>0</v>
      </c>
      <c r="X303">
        <v>0</v>
      </c>
      <c r="Y303">
        <v>0</v>
      </c>
      <c r="Z303">
        <v>1.6082786000000002E-2</v>
      </c>
      <c r="AA303">
        <v>0</v>
      </c>
      <c r="AB303" t="s">
        <v>33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f t="shared" si="4"/>
        <v>0</v>
      </c>
    </row>
    <row r="304" spans="1:34" x14ac:dyDescent="0.25">
      <c r="A304" s="1">
        <v>43934</v>
      </c>
      <c r="B304">
        <v>278.5</v>
      </c>
      <c r="C304">
        <v>-3.577818E-3</v>
      </c>
      <c r="D304">
        <v>351.5</v>
      </c>
      <c r="E304">
        <v>4.2857140000000004E-3</v>
      </c>
      <c r="F304">
        <v>-7.8635319999999995E-3</v>
      </c>
      <c r="G304">
        <v>7.8635319999999995E-3</v>
      </c>
      <c r="H304">
        <v>1.5655572E-2</v>
      </c>
      <c r="I304">
        <v>7.8147240000000003E-3</v>
      </c>
      <c r="J304">
        <v>0</v>
      </c>
      <c r="K304">
        <v>0</v>
      </c>
      <c r="L304">
        <v>0</v>
      </c>
      <c r="M304">
        <v>5</v>
      </c>
      <c r="N304">
        <v>1.511837651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W304">
        <v>0</v>
      </c>
      <c r="X304">
        <v>0</v>
      </c>
      <c r="Y304">
        <v>0</v>
      </c>
      <c r="Z304">
        <v>1.5655572E-2</v>
      </c>
      <c r="AA304">
        <v>0</v>
      </c>
      <c r="AB304" t="s">
        <v>33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f t="shared" si="4"/>
        <v>0</v>
      </c>
    </row>
    <row r="305" spans="1:34" x14ac:dyDescent="0.25">
      <c r="A305" s="1">
        <v>43935</v>
      </c>
      <c r="B305">
        <v>285</v>
      </c>
      <c r="C305">
        <v>2.3339318000000001E-2</v>
      </c>
      <c r="D305">
        <v>365.5</v>
      </c>
      <c r="E305">
        <v>3.9829303000000003E-2</v>
      </c>
      <c r="F305">
        <v>-1.6489984999999999E-2</v>
      </c>
      <c r="G305">
        <v>1.6489984999999999E-2</v>
      </c>
      <c r="H305">
        <v>1.4129651999999999E-2</v>
      </c>
      <c r="I305">
        <v>1.6960038E-2</v>
      </c>
      <c r="J305">
        <v>0</v>
      </c>
      <c r="K305">
        <v>0</v>
      </c>
      <c r="L305">
        <v>0</v>
      </c>
      <c r="M305">
        <v>5</v>
      </c>
      <c r="N305">
        <v>2.1885530110000002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W305">
        <v>0</v>
      </c>
      <c r="X305">
        <v>0</v>
      </c>
      <c r="Y305">
        <v>0</v>
      </c>
      <c r="Z305">
        <v>1.6960038E-2</v>
      </c>
      <c r="AA305">
        <v>0</v>
      </c>
      <c r="AB305" t="s">
        <v>33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f t="shared" si="4"/>
        <v>0</v>
      </c>
    </row>
    <row r="306" spans="1:34" x14ac:dyDescent="0.25">
      <c r="A306" s="1">
        <v>43936</v>
      </c>
      <c r="B306">
        <v>287.5</v>
      </c>
      <c r="C306">
        <v>8.7719300000000007E-3</v>
      </c>
      <c r="D306">
        <v>365.5</v>
      </c>
      <c r="E306">
        <v>0</v>
      </c>
      <c r="F306">
        <v>8.7719300000000007E-3</v>
      </c>
      <c r="G306">
        <v>8.7719300000000007E-3</v>
      </c>
      <c r="H306">
        <v>1.431724E-2</v>
      </c>
      <c r="I306">
        <v>1.760946E-2</v>
      </c>
      <c r="J306">
        <v>1</v>
      </c>
      <c r="K306">
        <v>0</v>
      </c>
      <c r="L306">
        <v>0</v>
      </c>
      <c r="M306">
        <v>5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W306">
        <v>0</v>
      </c>
      <c r="X306">
        <v>0</v>
      </c>
      <c r="Y306">
        <v>0</v>
      </c>
      <c r="Z306">
        <v>1.760946E-2</v>
      </c>
      <c r="AA306">
        <v>0</v>
      </c>
      <c r="AB306" t="s">
        <v>33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f t="shared" si="4"/>
        <v>0</v>
      </c>
    </row>
    <row r="307" spans="1:34" x14ac:dyDescent="0.25">
      <c r="A307" s="1">
        <v>43937</v>
      </c>
      <c r="B307">
        <v>286.5</v>
      </c>
      <c r="C307">
        <v>-3.4782609999999999E-3</v>
      </c>
      <c r="D307">
        <v>361.5</v>
      </c>
      <c r="E307">
        <v>-1.0943912E-2</v>
      </c>
      <c r="F307">
        <v>7.4656519999999997E-3</v>
      </c>
      <c r="G307">
        <v>7.4656519999999997E-3</v>
      </c>
      <c r="H307">
        <v>1.3850352E-2</v>
      </c>
      <c r="I307">
        <v>1.9847143000000001E-2</v>
      </c>
      <c r="J307">
        <v>1</v>
      </c>
      <c r="K307">
        <v>0</v>
      </c>
      <c r="L307">
        <v>0</v>
      </c>
      <c r="M307">
        <v>5</v>
      </c>
      <c r="N307">
        <v>3.9700331609999999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W307">
        <v>0</v>
      </c>
      <c r="X307">
        <v>0</v>
      </c>
      <c r="Y307">
        <v>0</v>
      </c>
      <c r="Z307">
        <v>1.9847143000000001E-2</v>
      </c>
      <c r="AA307">
        <v>0</v>
      </c>
      <c r="AB307" t="s">
        <v>33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f t="shared" si="4"/>
        <v>0</v>
      </c>
    </row>
    <row r="308" spans="1:34" x14ac:dyDescent="0.25">
      <c r="A308" s="1">
        <v>43938</v>
      </c>
      <c r="B308">
        <v>306.5</v>
      </c>
      <c r="C308">
        <v>6.9808027999999994E-2</v>
      </c>
      <c r="D308">
        <v>368</v>
      </c>
      <c r="E308">
        <v>1.7980636000000001E-2</v>
      </c>
      <c r="F308">
        <v>5.1827392E-2</v>
      </c>
      <c r="G308">
        <v>5.1827392E-2</v>
      </c>
      <c r="H308">
        <v>3.0495594000000001E-2</v>
      </c>
      <c r="I308">
        <v>1.9522507000000001E-2</v>
      </c>
      <c r="J308">
        <v>1</v>
      </c>
      <c r="K308">
        <v>1</v>
      </c>
      <c r="L308">
        <v>1</v>
      </c>
      <c r="M308">
        <v>5</v>
      </c>
      <c r="N308">
        <v>0.30925521</v>
      </c>
      <c r="O308">
        <v>-2</v>
      </c>
      <c r="P308">
        <v>5</v>
      </c>
      <c r="Q308">
        <v>7</v>
      </c>
      <c r="R308">
        <v>613</v>
      </c>
      <c r="S308">
        <v>-1840</v>
      </c>
      <c r="T308">
        <v>0</v>
      </c>
      <c r="U308">
        <v>0</v>
      </c>
      <c r="V308" t="s">
        <v>34</v>
      </c>
      <c r="W308">
        <v>613</v>
      </c>
      <c r="X308">
        <v>-1840</v>
      </c>
      <c r="Y308">
        <v>0</v>
      </c>
      <c r="Z308">
        <v>3.0495594000000001E-2</v>
      </c>
      <c r="AA308">
        <v>2453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2453</v>
      </c>
      <c r="AH308">
        <f t="shared" si="4"/>
        <v>0</v>
      </c>
    </row>
    <row r="309" spans="1:34" x14ac:dyDescent="0.25">
      <c r="A309" s="1">
        <v>43941</v>
      </c>
      <c r="B309">
        <v>304</v>
      </c>
      <c r="C309">
        <v>-8.1566069999999997E-3</v>
      </c>
      <c r="D309">
        <v>370</v>
      </c>
      <c r="E309">
        <v>5.4347830000000003E-3</v>
      </c>
      <c r="F309">
        <v>-1.3591389000000001E-2</v>
      </c>
      <c r="G309">
        <v>1.3591389000000001E-2</v>
      </c>
      <c r="H309">
        <v>3.1397472000000003E-2</v>
      </c>
      <c r="I309">
        <v>1.9441628999999998E-2</v>
      </c>
      <c r="J309">
        <v>0</v>
      </c>
      <c r="K309">
        <v>0</v>
      </c>
      <c r="L309">
        <v>-1</v>
      </c>
      <c r="M309">
        <v>5</v>
      </c>
      <c r="N309">
        <v>0.81096252899999999</v>
      </c>
      <c r="O309">
        <v>2</v>
      </c>
      <c r="P309">
        <v>-5</v>
      </c>
      <c r="Q309">
        <v>7</v>
      </c>
      <c r="R309">
        <v>-608</v>
      </c>
      <c r="S309">
        <v>1850</v>
      </c>
      <c r="T309">
        <v>5</v>
      </c>
      <c r="U309">
        <v>10</v>
      </c>
      <c r="V309" t="s">
        <v>35</v>
      </c>
      <c r="W309">
        <v>-608</v>
      </c>
      <c r="X309">
        <v>1850</v>
      </c>
      <c r="Y309">
        <v>15</v>
      </c>
      <c r="Z309">
        <v>3.1397472000000003E-2</v>
      </c>
      <c r="AA309">
        <v>2458</v>
      </c>
      <c r="AB309">
        <v>0</v>
      </c>
      <c r="AC309">
        <v>15</v>
      </c>
      <c r="AD309">
        <v>6.102522E-3</v>
      </c>
      <c r="AE309">
        <v>0</v>
      </c>
      <c r="AF309">
        <v>15</v>
      </c>
      <c r="AG309">
        <v>0</v>
      </c>
      <c r="AH309">
        <f t="shared" si="4"/>
        <v>6.1025223759153787E-3</v>
      </c>
    </row>
    <row r="310" spans="1:34" x14ac:dyDescent="0.25">
      <c r="A310" s="1">
        <v>43942</v>
      </c>
      <c r="B310">
        <v>295</v>
      </c>
      <c r="C310">
        <v>-2.9605263E-2</v>
      </c>
      <c r="D310">
        <v>353.5</v>
      </c>
      <c r="E310">
        <v>-4.4594595000000001E-2</v>
      </c>
      <c r="F310">
        <v>1.4989331E-2</v>
      </c>
      <c r="G310">
        <v>1.4989331E-2</v>
      </c>
      <c r="H310">
        <v>3.7504517000000001E-2</v>
      </c>
      <c r="I310">
        <v>2.3742939000000001E-2</v>
      </c>
      <c r="J310">
        <v>1</v>
      </c>
      <c r="K310">
        <v>0</v>
      </c>
      <c r="L310">
        <v>0</v>
      </c>
      <c r="M310">
        <v>5</v>
      </c>
      <c r="N310">
        <v>1.805014506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W310">
        <v>0</v>
      </c>
      <c r="X310">
        <v>0</v>
      </c>
      <c r="Y310">
        <v>0</v>
      </c>
      <c r="Z310">
        <v>3.7504517000000001E-2</v>
      </c>
      <c r="AA310">
        <v>0</v>
      </c>
      <c r="AB310" t="s">
        <v>33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f t="shared" si="4"/>
        <v>0</v>
      </c>
    </row>
    <row r="311" spans="1:34" x14ac:dyDescent="0.25">
      <c r="A311" s="1">
        <v>43943</v>
      </c>
      <c r="B311">
        <v>294</v>
      </c>
      <c r="C311">
        <v>-3.3898309999999998E-3</v>
      </c>
      <c r="D311">
        <v>346</v>
      </c>
      <c r="E311">
        <v>-2.1216407E-2</v>
      </c>
      <c r="F311">
        <v>1.7826577E-2</v>
      </c>
      <c r="G311">
        <v>1.7826577E-2</v>
      </c>
      <c r="H311">
        <v>3.7792078999999999E-2</v>
      </c>
      <c r="I311">
        <v>2.4199188E-2</v>
      </c>
      <c r="J311">
        <v>1</v>
      </c>
      <c r="K311">
        <v>0</v>
      </c>
      <c r="L311">
        <v>0</v>
      </c>
      <c r="M311">
        <v>5</v>
      </c>
      <c r="N311">
        <v>7.3658459140000003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W311">
        <v>0</v>
      </c>
      <c r="X311">
        <v>0</v>
      </c>
      <c r="Y311">
        <v>0</v>
      </c>
      <c r="Z311">
        <v>3.7792078999999999E-2</v>
      </c>
      <c r="AA311">
        <v>0</v>
      </c>
      <c r="AB311" t="s">
        <v>33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f t="shared" si="4"/>
        <v>0</v>
      </c>
    </row>
    <row r="312" spans="1:34" x14ac:dyDescent="0.25">
      <c r="A312" s="1">
        <v>43944</v>
      </c>
      <c r="B312">
        <v>295.5</v>
      </c>
      <c r="C312">
        <v>5.1020409999999999E-3</v>
      </c>
      <c r="D312">
        <v>351</v>
      </c>
      <c r="E312">
        <v>1.4450866999999999E-2</v>
      </c>
      <c r="F312">
        <v>-9.3488259999999993E-3</v>
      </c>
      <c r="G312">
        <v>9.3488259999999993E-3</v>
      </c>
      <c r="H312">
        <v>3.7502529999999999E-2</v>
      </c>
      <c r="I312">
        <v>2.6665990000000001E-2</v>
      </c>
      <c r="J312">
        <v>0</v>
      </c>
      <c r="K312">
        <v>0</v>
      </c>
      <c r="L312">
        <v>0</v>
      </c>
      <c r="M312">
        <v>5</v>
      </c>
      <c r="N312">
        <v>3.3643379009999999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W312">
        <v>0</v>
      </c>
      <c r="X312">
        <v>0</v>
      </c>
      <c r="Y312">
        <v>0</v>
      </c>
      <c r="Z312">
        <v>3.7502529999999999E-2</v>
      </c>
      <c r="AA312">
        <v>0</v>
      </c>
      <c r="AB312" t="s">
        <v>33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f t="shared" si="4"/>
        <v>0</v>
      </c>
    </row>
    <row r="313" spans="1:34" x14ac:dyDescent="0.25">
      <c r="A313" s="1">
        <v>43945</v>
      </c>
      <c r="B313">
        <v>294</v>
      </c>
      <c r="C313">
        <v>-5.0761419999999996E-3</v>
      </c>
      <c r="D313">
        <v>348.5</v>
      </c>
      <c r="E313">
        <v>-7.1225070000000001E-3</v>
      </c>
      <c r="F313">
        <v>2.0463650000000001E-3</v>
      </c>
      <c r="G313">
        <v>2.0463650000000001E-3</v>
      </c>
      <c r="H313">
        <v>1.2923085000000001E-2</v>
      </c>
      <c r="I313">
        <v>2.3265280999999999E-2</v>
      </c>
      <c r="J313">
        <v>1</v>
      </c>
      <c r="K313">
        <v>0</v>
      </c>
      <c r="L313">
        <v>0</v>
      </c>
      <c r="M313">
        <v>5</v>
      </c>
      <c r="N313">
        <v>1.663238657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W313">
        <v>0</v>
      </c>
      <c r="X313">
        <v>0</v>
      </c>
      <c r="Y313">
        <v>0</v>
      </c>
      <c r="Z313">
        <v>2.3265280999999999E-2</v>
      </c>
      <c r="AA313">
        <v>0</v>
      </c>
      <c r="AB313" t="s">
        <v>33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f t="shared" si="4"/>
        <v>0</v>
      </c>
    </row>
    <row r="314" spans="1:34" x14ac:dyDescent="0.25">
      <c r="A314" s="1">
        <v>43948</v>
      </c>
      <c r="B314">
        <v>298</v>
      </c>
      <c r="C314">
        <v>1.3605442000000001E-2</v>
      </c>
      <c r="D314">
        <v>372</v>
      </c>
      <c r="E314">
        <v>6.7431851000000001E-2</v>
      </c>
      <c r="F314">
        <v>-5.3826408999999999E-2</v>
      </c>
      <c r="G314">
        <v>5.3826408999999999E-2</v>
      </c>
      <c r="H314">
        <v>1.6200908E-2</v>
      </c>
      <c r="I314">
        <v>4.2512964E-2</v>
      </c>
      <c r="J314">
        <v>0</v>
      </c>
      <c r="K314">
        <v>1</v>
      </c>
      <c r="L314">
        <v>1</v>
      </c>
      <c r="M314">
        <v>5</v>
      </c>
      <c r="N314">
        <v>6.186985451</v>
      </c>
      <c r="O314">
        <v>31</v>
      </c>
      <c r="P314">
        <v>-5</v>
      </c>
      <c r="Q314">
        <v>36</v>
      </c>
      <c r="R314">
        <v>-9238</v>
      </c>
      <c r="S314">
        <v>1860</v>
      </c>
      <c r="T314">
        <v>0</v>
      </c>
      <c r="U314">
        <v>0</v>
      </c>
      <c r="V314" t="s">
        <v>34</v>
      </c>
      <c r="W314">
        <v>-9238</v>
      </c>
      <c r="X314">
        <v>1860</v>
      </c>
      <c r="Y314">
        <v>0</v>
      </c>
      <c r="Z314">
        <v>4.2512964E-2</v>
      </c>
      <c r="AA314">
        <v>11098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11098</v>
      </c>
      <c r="AH314">
        <f t="shared" si="4"/>
        <v>0</v>
      </c>
    </row>
    <row r="315" spans="1:34" x14ac:dyDescent="0.25">
      <c r="A315" s="1">
        <v>43949</v>
      </c>
      <c r="B315">
        <v>296.5</v>
      </c>
      <c r="C315">
        <v>-5.0335570000000001E-3</v>
      </c>
      <c r="D315">
        <v>375</v>
      </c>
      <c r="E315">
        <v>8.0645160000000007E-3</v>
      </c>
      <c r="F315">
        <v>-1.3098073E-2</v>
      </c>
      <c r="G315">
        <v>1.3098073E-2</v>
      </c>
      <c r="H315">
        <v>8.1900730000000008E-3</v>
      </c>
      <c r="I315">
        <v>3.377376E-2</v>
      </c>
      <c r="J315">
        <v>0</v>
      </c>
      <c r="K315">
        <v>1</v>
      </c>
      <c r="L315">
        <v>0</v>
      </c>
      <c r="M315">
        <v>5</v>
      </c>
      <c r="N315">
        <v>2.0263286730000001</v>
      </c>
      <c r="O315">
        <v>-31</v>
      </c>
      <c r="P315">
        <v>5</v>
      </c>
      <c r="Q315">
        <v>36</v>
      </c>
      <c r="R315">
        <v>9191.5</v>
      </c>
      <c r="S315">
        <v>-1875</v>
      </c>
      <c r="T315">
        <v>-46.5</v>
      </c>
      <c r="U315">
        <v>-15</v>
      </c>
      <c r="V315" t="s">
        <v>37</v>
      </c>
      <c r="W315">
        <v>0</v>
      </c>
      <c r="X315">
        <v>0</v>
      </c>
      <c r="Y315">
        <v>0</v>
      </c>
      <c r="Z315">
        <v>3.377376E-2</v>
      </c>
      <c r="AA315">
        <v>11066.5</v>
      </c>
      <c r="AB315">
        <v>0</v>
      </c>
      <c r="AC315">
        <v>-61.5</v>
      </c>
      <c r="AD315">
        <v>-5.5573130000000004E-3</v>
      </c>
      <c r="AE315">
        <v>0</v>
      </c>
      <c r="AF315">
        <v>0</v>
      </c>
      <c r="AG315">
        <v>0</v>
      </c>
      <c r="AH315">
        <f t="shared" si="4"/>
        <v>0</v>
      </c>
    </row>
    <row r="316" spans="1:34" x14ac:dyDescent="0.25">
      <c r="A316" s="1">
        <v>43950</v>
      </c>
      <c r="B316">
        <v>299</v>
      </c>
      <c r="C316">
        <v>8.4317030000000005E-3</v>
      </c>
      <c r="D316">
        <v>398</v>
      </c>
      <c r="E316">
        <v>6.1333332999999997E-2</v>
      </c>
      <c r="F316">
        <v>-5.2901629999999998E-2</v>
      </c>
      <c r="G316">
        <v>5.2901629999999998E-2</v>
      </c>
      <c r="H316">
        <v>8.296622E-3</v>
      </c>
      <c r="I316">
        <v>3.3455631E-2</v>
      </c>
      <c r="J316">
        <v>0</v>
      </c>
      <c r="K316">
        <v>1</v>
      </c>
      <c r="L316">
        <v>0</v>
      </c>
      <c r="M316">
        <v>5</v>
      </c>
      <c r="N316">
        <v>9.6826256409999996</v>
      </c>
      <c r="O316">
        <v>-31</v>
      </c>
      <c r="P316">
        <v>5</v>
      </c>
      <c r="Q316">
        <v>36</v>
      </c>
      <c r="R316">
        <v>9269</v>
      </c>
      <c r="S316">
        <v>-1990</v>
      </c>
      <c r="T316">
        <v>31</v>
      </c>
      <c r="U316">
        <v>-130</v>
      </c>
      <c r="V316" t="s">
        <v>37</v>
      </c>
      <c r="W316">
        <v>0</v>
      </c>
      <c r="X316">
        <v>0</v>
      </c>
      <c r="Y316">
        <v>0</v>
      </c>
      <c r="Z316">
        <v>3.3455631E-2</v>
      </c>
      <c r="AA316">
        <v>11259</v>
      </c>
      <c r="AB316">
        <v>0</v>
      </c>
      <c r="AC316">
        <v>-99</v>
      </c>
      <c r="AD316">
        <v>-8.7929659999999993E-3</v>
      </c>
      <c r="AE316">
        <v>0</v>
      </c>
      <c r="AF316">
        <v>0</v>
      </c>
      <c r="AG316">
        <v>0</v>
      </c>
      <c r="AH316">
        <f t="shared" si="4"/>
        <v>0</v>
      </c>
    </row>
    <row r="317" spans="1:34" x14ac:dyDescent="0.25">
      <c r="A317" s="1">
        <v>43951</v>
      </c>
      <c r="B317">
        <v>304.5</v>
      </c>
      <c r="C317">
        <v>1.8394648999999999E-2</v>
      </c>
      <c r="D317">
        <v>415</v>
      </c>
      <c r="E317">
        <v>4.2713568E-2</v>
      </c>
      <c r="F317">
        <v>-2.4318919000000001E-2</v>
      </c>
      <c r="G317">
        <v>2.4318919000000001E-2</v>
      </c>
      <c r="H317">
        <v>1.0744566000000001E-2</v>
      </c>
      <c r="I317">
        <v>3.2799634000000001E-2</v>
      </c>
      <c r="J317">
        <v>0</v>
      </c>
      <c r="K317">
        <v>1</v>
      </c>
      <c r="L317">
        <v>0</v>
      </c>
      <c r="M317">
        <v>5</v>
      </c>
      <c r="N317">
        <v>3.1647189519999999</v>
      </c>
      <c r="O317">
        <v>-31</v>
      </c>
      <c r="P317">
        <v>5</v>
      </c>
      <c r="Q317">
        <v>36</v>
      </c>
      <c r="R317">
        <v>9439.5</v>
      </c>
      <c r="S317">
        <v>-2075</v>
      </c>
      <c r="T317">
        <v>201.5</v>
      </c>
      <c r="U317">
        <v>-215</v>
      </c>
      <c r="V317" t="s">
        <v>37</v>
      </c>
      <c r="W317">
        <v>0</v>
      </c>
      <c r="X317">
        <v>0</v>
      </c>
      <c r="Y317">
        <v>0</v>
      </c>
      <c r="Z317">
        <v>3.2799634000000001E-2</v>
      </c>
      <c r="AA317">
        <v>11514.5</v>
      </c>
      <c r="AB317">
        <v>0</v>
      </c>
      <c r="AC317">
        <v>-13.5</v>
      </c>
      <c r="AD317">
        <v>-1.1724350000000001E-3</v>
      </c>
      <c r="AE317">
        <v>0</v>
      </c>
      <c r="AF317">
        <v>0</v>
      </c>
      <c r="AG317">
        <v>0</v>
      </c>
      <c r="AH317">
        <f t="shared" si="4"/>
        <v>0</v>
      </c>
    </row>
    <row r="318" spans="1:34" x14ac:dyDescent="0.25">
      <c r="A318" s="1">
        <v>43955</v>
      </c>
      <c r="B318">
        <v>295</v>
      </c>
      <c r="C318">
        <v>-3.1198686E-2</v>
      </c>
      <c r="D318">
        <v>399.5</v>
      </c>
      <c r="E318">
        <v>-3.7349397999999999E-2</v>
      </c>
      <c r="F318">
        <v>6.1507109999999997E-3</v>
      </c>
      <c r="G318">
        <v>6.1507109999999997E-3</v>
      </c>
      <c r="H318">
        <v>1.9935722999999999E-2</v>
      </c>
      <c r="I318">
        <v>4.3443860000000001E-2</v>
      </c>
      <c r="J318">
        <v>1</v>
      </c>
      <c r="K318">
        <v>0</v>
      </c>
      <c r="L318">
        <v>-1</v>
      </c>
      <c r="M318">
        <v>5</v>
      </c>
      <c r="N318">
        <v>1.6212204029999999</v>
      </c>
      <c r="O318">
        <v>-31</v>
      </c>
      <c r="P318">
        <v>5</v>
      </c>
      <c r="Q318">
        <v>36</v>
      </c>
      <c r="R318">
        <v>9145</v>
      </c>
      <c r="S318">
        <v>-1997.5</v>
      </c>
      <c r="T318">
        <v>-93</v>
      </c>
      <c r="U318">
        <v>-137.5</v>
      </c>
      <c r="V318" t="s">
        <v>35</v>
      </c>
      <c r="W318">
        <v>9145</v>
      </c>
      <c r="X318">
        <v>-1997.5</v>
      </c>
      <c r="Y318">
        <v>-230.5</v>
      </c>
      <c r="Z318">
        <v>4.3443860000000001E-2</v>
      </c>
      <c r="AA318">
        <v>11142.5</v>
      </c>
      <c r="AB318">
        <v>0</v>
      </c>
      <c r="AC318">
        <v>-230.5</v>
      </c>
      <c r="AD318">
        <v>-2.068656E-2</v>
      </c>
      <c r="AE318">
        <v>0</v>
      </c>
      <c r="AF318">
        <v>-230.5</v>
      </c>
      <c r="AG318">
        <v>0</v>
      </c>
      <c r="AH318">
        <f t="shared" si="4"/>
        <v>-2.0686560466681624E-2</v>
      </c>
    </row>
    <row r="319" spans="1:34" x14ac:dyDescent="0.25">
      <c r="A319" s="1">
        <v>43956</v>
      </c>
      <c r="B319">
        <v>295.5</v>
      </c>
      <c r="C319">
        <v>1.694915E-3</v>
      </c>
      <c r="D319">
        <v>401.5</v>
      </c>
      <c r="E319">
        <v>5.0062580000000004E-3</v>
      </c>
      <c r="F319">
        <v>-3.311343E-3</v>
      </c>
      <c r="G319">
        <v>3.311343E-3</v>
      </c>
      <c r="H319">
        <v>1.8702488999999999E-2</v>
      </c>
      <c r="I319">
        <v>3.8074623000000002E-2</v>
      </c>
      <c r="J319">
        <v>0</v>
      </c>
      <c r="K319">
        <v>0</v>
      </c>
      <c r="L319">
        <v>0</v>
      </c>
      <c r="M319">
        <v>5</v>
      </c>
      <c r="N319">
        <v>4.0132229580000001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W319">
        <v>0</v>
      </c>
      <c r="X319">
        <v>0</v>
      </c>
      <c r="Y319">
        <v>0</v>
      </c>
      <c r="Z319">
        <v>3.8074623000000002E-2</v>
      </c>
      <c r="AA319">
        <v>0</v>
      </c>
      <c r="AB319" t="s">
        <v>33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f t="shared" si="4"/>
        <v>0</v>
      </c>
    </row>
    <row r="320" spans="1:34" x14ac:dyDescent="0.25">
      <c r="A320" s="1">
        <v>43957</v>
      </c>
      <c r="B320">
        <v>296</v>
      </c>
      <c r="C320">
        <v>1.6920469999999999E-3</v>
      </c>
      <c r="D320">
        <v>408</v>
      </c>
      <c r="E320">
        <v>1.6189289999999999E-2</v>
      </c>
      <c r="F320">
        <v>-1.4497243E-2</v>
      </c>
      <c r="G320">
        <v>1.4497243E-2</v>
      </c>
      <c r="H320">
        <v>1.8630326999999999E-2</v>
      </c>
      <c r="I320">
        <v>3.7826321000000003E-2</v>
      </c>
      <c r="J320">
        <v>0</v>
      </c>
      <c r="K320">
        <v>0</v>
      </c>
      <c r="L320">
        <v>0</v>
      </c>
      <c r="M320">
        <v>5</v>
      </c>
      <c r="N320">
        <v>13.188145799999999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W320">
        <v>0</v>
      </c>
      <c r="X320">
        <v>0</v>
      </c>
      <c r="Y320">
        <v>0</v>
      </c>
      <c r="Z320">
        <v>3.7826321000000003E-2</v>
      </c>
      <c r="AA320">
        <v>0</v>
      </c>
      <c r="AB320" t="s">
        <v>33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f t="shared" si="4"/>
        <v>0</v>
      </c>
    </row>
    <row r="321" spans="1:34" x14ac:dyDescent="0.25">
      <c r="A321" s="1">
        <v>43958</v>
      </c>
      <c r="B321">
        <v>297.5</v>
      </c>
      <c r="C321">
        <v>5.0675679999999997E-3</v>
      </c>
      <c r="D321">
        <v>411</v>
      </c>
      <c r="E321">
        <v>7.352941E-3</v>
      </c>
      <c r="F321">
        <v>-2.2853740000000002E-3</v>
      </c>
      <c r="G321">
        <v>2.2853740000000002E-3</v>
      </c>
      <c r="H321">
        <v>1.8298589000000001E-2</v>
      </c>
      <c r="I321">
        <v>2.8855822999999999E-2</v>
      </c>
      <c r="J321">
        <v>0</v>
      </c>
      <c r="K321">
        <v>0</v>
      </c>
      <c r="L321">
        <v>0</v>
      </c>
      <c r="M321">
        <v>5</v>
      </c>
      <c r="N321">
        <v>2.0045477009999999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W321">
        <v>0</v>
      </c>
      <c r="X321">
        <v>0</v>
      </c>
      <c r="Y321">
        <v>0</v>
      </c>
      <c r="Z321">
        <v>2.8855822999999999E-2</v>
      </c>
      <c r="AA321">
        <v>0</v>
      </c>
      <c r="AB321" t="s">
        <v>33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f t="shared" si="4"/>
        <v>0</v>
      </c>
    </row>
    <row r="322" spans="1:34" x14ac:dyDescent="0.25">
      <c r="A322" s="1">
        <v>43959</v>
      </c>
      <c r="B322">
        <v>297.5</v>
      </c>
      <c r="C322">
        <v>0</v>
      </c>
      <c r="D322">
        <v>411.5</v>
      </c>
      <c r="E322">
        <v>1.2165450000000001E-3</v>
      </c>
      <c r="F322">
        <v>-1.2165450000000001E-3</v>
      </c>
      <c r="G322">
        <v>1.2165450000000001E-3</v>
      </c>
      <c r="H322">
        <v>1.5010951999999999E-2</v>
      </c>
      <c r="I322">
        <v>2.0773627999999999E-2</v>
      </c>
      <c r="J322">
        <v>0</v>
      </c>
      <c r="K322">
        <v>0</v>
      </c>
      <c r="L322">
        <v>0</v>
      </c>
      <c r="M322">
        <v>5</v>
      </c>
      <c r="N322" t="s">
        <v>36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W322">
        <v>0</v>
      </c>
      <c r="X322">
        <v>0</v>
      </c>
      <c r="Y322">
        <v>0</v>
      </c>
      <c r="Z322">
        <v>2.0773627999999999E-2</v>
      </c>
      <c r="AA322">
        <v>0</v>
      </c>
      <c r="AB322" t="s">
        <v>33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f t="shared" si="4"/>
        <v>0</v>
      </c>
    </row>
    <row r="323" spans="1:34" x14ac:dyDescent="0.25">
      <c r="A323" s="1">
        <v>43962</v>
      </c>
      <c r="B323">
        <v>301</v>
      </c>
      <c r="C323">
        <v>1.1764706E-2</v>
      </c>
      <c r="D323">
        <v>410</v>
      </c>
      <c r="E323">
        <v>-3.6451999999999999E-3</v>
      </c>
      <c r="F323">
        <v>1.5409905999999999E-2</v>
      </c>
      <c r="G323">
        <v>1.5409905999999999E-2</v>
      </c>
      <c r="H323">
        <v>4.6920360000000001E-3</v>
      </c>
      <c r="I323">
        <v>7.4084379999999998E-3</v>
      </c>
      <c r="J323">
        <v>1</v>
      </c>
      <c r="K323">
        <v>1</v>
      </c>
      <c r="L323">
        <v>1</v>
      </c>
      <c r="M323">
        <v>5</v>
      </c>
      <c r="N323">
        <v>0.42204397700000001</v>
      </c>
      <c r="O323">
        <v>-3</v>
      </c>
      <c r="P323">
        <v>5</v>
      </c>
      <c r="Q323">
        <v>8</v>
      </c>
      <c r="R323">
        <v>903</v>
      </c>
      <c r="S323">
        <v>-2050</v>
      </c>
      <c r="T323">
        <v>0</v>
      </c>
      <c r="U323">
        <v>0</v>
      </c>
      <c r="V323" t="s">
        <v>34</v>
      </c>
      <c r="W323">
        <v>903</v>
      </c>
      <c r="X323">
        <v>-2050</v>
      </c>
      <c r="Y323">
        <v>0</v>
      </c>
      <c r="Z323">
        <v>7.4084379999999998E-3</v>
      </c>
      <c r="AA323">
        <v>2953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2953</v>
      </c>
      <c r="AH323">
        <f t="shared" ref="AH323:AH386" si="5">IF(AF323&lt;&gt;0,AF323/AA323,0)</f>
        <v>0</v>
      </c>
    </row>
    <row r="324" spans="1:34" x14ac:dyDescent="0.25">
      <c r="A324" s="1">
        <v>43963</v>
      </c>
      <c r="B324">
        <v>295</v>
      </c>
      <c r="C324">
        <v>-1.9933554999999999E-2</v>
      </c>
      <c r="D324">
        <v>407</v>
      </c>
      <c r="E324">
        <v>-7.3170730000000003E-3</v>
      </c>
      <c r="F324">
        <v>-1.2616482E-2</v>
      </c>
      <c r="G324">
        <v>1.2616482E-2</v>
      </c>
      <c r="H324">
        <v>1.18733E-2</v>
      </c>
      <c r="I324">
        <v>9.3058740000000004E-3</v>
      </c>
      <c r="J324">
        <v>0</v>
      </c>
      <c r="K324">
        <v>0</v>
      </c>
      <c r="L324">
        <v>-1</v>
      </c>
      <c r="M324">
        <v>5</v>
      </c>
      <c r="N324">
        <v>0.50643654400000004</v>
      </c>
      <c r="O324">
        <v>3</v>
      </c>
      <c r="P324">
        <v>-5</v>
      </c>
      <c r="Q324">
        <v>8</v>
      </c>
      <c r="R324">
        <v>-885</v>
      </c>
      <c r="S324">
        <v>2035</v>
      </c>
      <c r="T324">
        <v>18</v>
      </c>
      <c r="U324">
        <v>-15</v>
      </c>
      <c r="V324" t="s">
        <v>35</v>
      </c>
      <c r="W324">
        <v>-885</v>
      </c>
      <c r="X324">
        <v>2035</v>
      </c>
      <c r="Y324">
        <v>3</v>
      </c>
      <c r="Z324">
        <v>1.18733E-2</v>
      </c>
      <c r="AA324">
        <v>2920</v>
      </c>
      <c r="AB324">
        <v>0</v>
      </c>
      <c r="AC324">
        <v>3</v>
      </c>
      <c r="AD324">
        <v>1.027397E-3</v>
      </c>
      <c r="AE324">
        <v>0</v>
      </c>
      <c r="AF324">
        <v>3</v>
      </c>
      <c r="AG324">
        <v>0</v>
      </c>
      <c r="AH324">
        <f t="shared" si="5"/>
        <v>1.0273972602739725E-3</v>
      </c>
    </row>
    <row r="325" spans="1:34" x14ac:dyDescent="0.25">
      <c r="A325" s="1">
        <v>43964</v>
      </c>
      <c r="B325">
        <v>297</v>
      </c>
      <c r="C325">
        <v>6.7796610000000002E-3</v>
      </c>
      <c r="D325">
        <v>420</v>
      </c>
      <c r="E325">
        <v>3.1941032000000001E-2</v>
      </c>
      <c r="F325">
        <v>-2.5161370999999998E-2</v>
      </c>
      <c r="G325">
        <v>2.5161370999999998E-2</v>
      </c>
      <c r="H325">
        <v>1.2295252E-2</v>
      </c>
      <c r="I325">
        <v>1.5556209E-2</v>
      </c>
      <c r="J325">
        <v>0</v>
      </c>
      <c r="K325">
        <v>1</v>
      </c>
      <c r="L325">
        <v>1</v>
      </c>
      <c r="M325">
        <v>5</v>
      </c>
      <c r="N325">
        <v>6.6624475719999996</v>
      </c>
      <c r="O325">
        <v>34</v>
      </c>
      <c r="P325">
        <v>-5</v>
      </c>
      <c r="Q325">
        <v>39</v>
      </c>
      <c r="R325">
        <v>-10098</v>
      </c>
      <c r="S325">
        <v>2100</v>
      </c>
      <c r="T325">
        <v>0</v>
      </c>
      <c r="U325">
        <v>0</v>
      </c>
      <c r="V325" t="s">
        <v>34</v>
      </c>
      <c r="W325">
        <v>-10098</v>
      </c>
      <c r="X325">
        <v>2100</v>
      </c>
      <c r="Y325">
        <v>0</v>
      </c>
      <c r="Z325">
        <v>1.5556209E-2</v>
      </c>
      <c r="AA325">
        <v>12198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12198</v>
      </c>
      <c r="AH325">
        <f t="shared" si="5"/>
        <v>0</v>
      </c>
    </row>
    <row r="326" spans="1:34" x14ac:dyDescent="0.25">
      <c r="A326" s="1">
        <v>43965</v>
      </c>
      <c r="B326">
        <v>293</v>
      </c>
      <c r="C326">
        <v>-1.3468012999999999E-2</v>
      </c>
      <c r="D326">
        <v>411</v>
      </c>
      <c r="E326">
        <v>-2.1428571E-2</v>
      </c>
      <c r="F326">
        <v>7.9605579999999995E-3</v>
      </c>
      <c r="G326">
        <v>7.9605579999999995E-3</v>
      </c>
      <c r="H326">
        <v>1.3406704E-2</v>
      </c>
      <c r="I326">
        <v>1.9669790999999999E-2</v>
      </c>
      <c r="J326">
        <v>1</v>
      </c>
      <c r="K326">
        <v>0</v>
      </c>
      <c r="L326">
        <v>-1</v>
      </c>
      <c r="M326">
        <v>5</v>
      </c>
      <c r="N326">
        <v>2.2318442219999999</v>
      </c>
      <c r="O326">
        <v>-34</v>
      </c>
      <c r="P326">
        <v>5</v>
      </c>
      <c r="Q326">
        <v>39</v>
      </c>
      <c r="R326">
        <v>9962</v>
      </c>
      <c r="S326">
        <v>-2055</v>
      </c>
      <c r="T326">
        <v>-136</v>
      </c>
      <c r="U326">
        <v>45</v>
      </c>
      <c r="V326" t="s">
        <v>35</v>
      </c>
      <c r="W326">
        <v>9962</v>
      </c>
      <c r="X326">
        <v>-2055</v>
      </c>
      <c r="Y326">
        <v>-91</v>
      </c>
      <c r="Z326">
        <v>1.9669790999999999E-2</v>
      </c>
      <c r="AA326">
        <v>12017</v>
      </c>
      <c r="AB326">
        <v>0</v>
      </c>
      <c r="AC326">
        <v>-91</v>
      </c>
      <c r="AD326">
        <v>-7.5726049999999996E-3</v>
      </c>
      <c r="AE326">
        <v>0</v>
      </c>
      <c r="AF326">
        <v>-91</v>
      </c>
      <c r="AG326">
        <v>0</v>
      </c>
      <c r="AH326">
        <f t="shared" si="5"/>
        <v>-7.5726054755762672E-3</v>
      </c>
    </row>
    <row r="327" spans="1:34" x14ac:dyDescent="0.25">
      <c r="A327" s="1">
        <v>43966</v>
      </c>
      <c r="B327">
        <v>298</v>
      </c>
      <c r="C327">
        <v>1.7064846000000002E-2</v>
      </c>
      <c r="D327">
        <v>411</v>
      </c>
      <c r="E327">
        <v>0</v>
      </c>
      <c r="F327">
        <v>1.7064846000000002E-2</v>
      </c>
      <c r="G327">
        <v>1.7064846000000002E-2</v>
      </c>
      <c r="H327">
        <v>1.6227603E-2</v>
      </c>
      <c r="I327">
        <v>1.9660872999999999E-2</v>
      </c>
      <c r="J327">
        <v>1</v>
      </c>
      <c r="K327">
        <v>0</v>
      </c>
      <c r="L327">
        <v>0</v>
      </c>
      <c r="M327">
        <v>5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W327">
        <v>0</v>
      </c>
      <c r="X327">
        <v>0</v>
      </c>
      <c r="Y327">
        <v>0</v>
      </c>
      <c r="Z327">
        <v>1.9660872999999999E-2</v>
      </c>
      <c r="AA327">
        <v>0</v>
      </c>
      <c r="AB327" t="s">
        <v>33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f t="shared" si="5"/>
        <v>0</v>
      </c>
    </row>
    <row r="328" spans="1:34" x14ac:dyDescent="0.25">
      <c r="A328" s="1">
        <v>43969</v>
      </c>
      <c r="B328">
        <v>290</v>
      </c>
      <c r="C328">
        <v>-2.6845638000000002E-2</v>
      </c>
      <c r="D328">
        <v>440.5</v>
      </c>
      <c r="E328">
        <v>7.1776155999999994E-2</v>
      </c>
      <c r="F328">
        <v>-9.8621792999999999E-2</v>
      </c>
      <c r="G328">
        <v>9.8621792999999999E-2</v>
      </c>
      <c r="H328">
        <v>1.8517314999999999E-2</v>
      </c>
      <c r="I328">
        <v>3.7284791999999997E-2</v>
      </c>
      <c r="J328">
        <v>0</v>
      </c>
      <c r="K328">
        <v>1</v>
      </c>
      <c r="L328">
        <v>1</v>
      </c>
      <c r="M328">
        <v>5</v>
      </c>
      <c r="N328">
        <v>4.0612000799999999</v>
      </c>
      <c r="O328">
        <v>21</v>
      </c>
      <c r="P328">
        <v>-5</v>
      </c>
      <c r="Q328">
        <v>26</v>
      </c>
      <c r="R328">
        <v>-6090</v>
      </c>
      <c r="S328">
        <v>2202.5</v>
      </c>
      <c r="T328">
        <v>0</v>
      </c>
      <c r="U328">
        <v>0</v>
      </c>
      <c r="V328" t="s">
        <v>34</v>
      </c>
      <c r="W328">
        <v>-6090</v>
      </c>
      <c r="X328">
        <v>2202.5</v>
      </c>
      <c r="Y328">
        <v>0</v>
      </c>
      <c r="Z328">
        <v>3.7284791999999997E-2</v>
      </c>
      <c r="AA328">
        <v>8292.5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8292.5</v>
      </c>
      <c r="AH328">
        <f t="shared" si="5"/>
        <v>0</v>
      </c>
    </row>
    <row r="329" spans="1:34" x14ac:dyDescent="0.25">
      <c r="A329" s="1">
        <v>43970</v>
      </c>
      <c r="B329">
        <v>291.5</v>
      </c>
      <c r="C329">
        <v>5.1724140000000002E-3</v>
      </c>
      <c r="D329">
        <v>462</v>
      </c>
      <c r="E329">
        <v>4.8808173000000003E-2</v>
      </c>
      <c r="F329">
        <v>-4.3635759000000003E-2</v>
      </c>
      <c r="G329">
        <v>4.3635759000000003E-2</v>
      </c>
      <c r="H329">
        <v>1.7610218E-2</v>
      </c>
      <c r="I329">
        <v>3.7336958000000003E-2</v>
      </c>
      <c r="J329">
        <v>0</v>
      </c>
      <c r="K329">
        <v>1</v>
      </c>
      <c r="L329">
        <v>0</v>
      </c>
      <c r="M329">
        <v>5</v>
      </c>
      <c r="N329">
        <v>14.95556079</v>
      </c>
      <c r="O329">
        <v>-21</v>
      </c>
      <c r="P329">
        <v>5</v>
      </c>
      <c r="Q329">
        <v>26</v>
      </c>
      <c r="R329">
        <v>6121.5</v>
      </c>
      <c r="S329">
        <v>-2310</v>
      </c>
      <c r="T329">
        <v>31.5</v>
      </c>
      <c r="U329">
        <v>-107.5</v>
      </c>
      <c r="V329" t="s">
        <v>37</v>
      </c>
      <c r="W329">
        <v>0</v>
      </c>
      <c r="X329">
        <v>0</v>
      </c>
      <c r="Y329">
        <v>0</v>
      </c>
      <c r="Z329">
        <v>3.7336958000000003E-2</v>
      </c>
      <c r="AA329">
        <v>8431.5</v>
      </c>
      <c r="AB329">
        <v>0</v>
      </c>
      <c r="AC329">
        <v>-76</v>
      </c>
      <c r="AD329">
        <v>-9.0138170000000004E-3</v>
      </c>
      <c r="AE329">
        <v>0</v>
      </c>
      <c r="AF329">
        <v>0</v>
      </c>
      <c r="AG329">
        <v>0</v>
      </c>
      <c r="AH329">
        <f t="shared" si="5"/>
        <v>0</v>
      </c>
    </row>
    <row r="330" spans="1:34" x14ac:dyDescent="0.25">
      <c r="A330" s="1">
        <v>43971</v>
      </c>
      <c r="B330">
        <v>294</v>
      </c>
      <c r="C330">
        <v>8.5763290000000006E-3</v>
      </c>
      <c r="D330">
        <v>470</v>
      </c>
      <c r="E330">
        <v>1.7316017E-2</v>
      </c>
      <c r="F330">
        <v>-8.7396880000000007E-3</v>
      </c>
      <c r="G330">
        <v>8.7396880000000007E-3</v>
      </c>
      <c r="H330">
        <v>1.7857363000000001E-2</v>
      </c>
      <c r="I330">
        <v>3.7349523000000003E-2</v>
      </c>
      <c r="J330">
        <v>0</v>
      </c>
      <c r="K330">
        <v>1</v>
      </c>
      <c r="L330">
        <v>0</v>
      </c>
      <c r="M330">
        <v>5</v>
      </c>
      <c r="N330">
        <v>3.227729187</v>
      </c>
      <c r="O330">
        <v>-21</v>
      </c>
      <c r="P330">
        <v>5</v>
      </c>
      <c r="Q330">
        <v>26</v>
      </c>
      <c r="R330">
        <v>6174</v>
      </c>
      <c r="S330">
        <v>-2350</v>
      </c>
      <c r="T330">
        <v>84</v>
      </c>
      <c r="U330">
        <v>-147.5</v>
      </c>
      <c r="V330" t="s">
        <v>37</v>
      </c>
      <c r="W330">
        <v>0</v>
      </c>
      <c r="X330">
        <v>0</v>
      </c>
      <c r="Y330">
        <v>0</v>
      </c>
      <c r="Z330">
        <v>3.7349523000000003E-2</v>
      </c>
      <c r="AA330">
        <v>8524</v>
      </c>
      <c r="AB330">
        <v>0</v>
      </c>
      <c r="AC330">
        <v>-63.5</v>
      </c>
      <c r="AD330">
        <v>-7.4495539999999997E-3</v>
      </c>
      <c r="AE330">
        <v>0</v>
      </c>
      <c r="AF330">
        <v>0</v>
      </c>
      <c r="AG330">
        <v>0</v>
      </c>
      <c r="AH330">
        <f t="shared" si="5"/>
        <v>0</v>
      </c>
    </row>
    <row r="331" spans="1:34" x14ac:dyDescent="0.25">
      <c r="A331" s="1">
        <v>43972</v>
      </c>
      <c r="B331">
        <v>297.5</v>
      </c>
      <c r="C331">
        <v>1.1904761999999999E-2</v>
      </c>
      <c r="D331">
        <v>464.5</v>
      </c>
      <c r="E331">
        <v>-1.1702127999999999E-2</v>
      </c>
      <c r="F331">
        <v>2.3606889999999998E-2</v>
      </c>
      <c r="G331">
        <v>2.3606889999999998E-2</v>
      </c>
      <c r="H331">
        <v>1.7346032000000001E-2</v>
      </c>
      <c r="I331">
        <v>3.4589162E-2</v>
      </c>
      <c r="J331">
        <v>1</v>
      </c>
      <c r="K331">
        <v>0</v>
      </c>
      <c r="L331">
        <v>-1</v>
      </c>
      <c r="M331">
        <v>5</v>
      </c>
      <c r="N331">
        <v>1.5347684610000001</v>
      </c>
      <c r="O331">
        <v>-21</v>
      </c>
      <c r="P331">
        <v>5</v>
      </c>
      <c r="Q331">
        <v>26</v>
      </c>
      <c r="R331">
        <v>6247.5</v>
      </c>
      <c r="S331">
        <v>-2322.5</v>
      </c>
      <c r="T331">
        <v>157.5</v>
      </c>
      <c r="U331">
        <v>-120</v>
      </c>
      <c r="V331" t="s">
        <v>35</v>
      </c>
      <c r="W331">
        <v>6247.5</v>
      </c>
      <c r="X331">
        <v>-2322.5</v>
      </c>
      <c r="Y331">
        <v>37.5</v>
      </c>
      <c r="Z331">
        <v>3.4589162E-2</v>
      </c>
      <c r="AA331">
        <v>8570</v>
      </c>
      <c r="AB331">
        <v>0</v>
      </c>
      <c r="AC331">
        <v>37.5</v>
      </c>
      <c r="AD331">
        <v>4.3757290000000001E-3</v>
      </c>
      <c r="AE331">
        <v>0</v>
      </c>
      <c r="AF331">
        <v>37.5</v>
      </c>
      <c r="AG331">
        <v>0</v>
      </c>
      <c r="AH331">
        <f t="shared" si="5"/>
        <v>4.3757292882147022E-3</v>
      </c>
    </row>
    <row r="332" spans="1:34" x14ac:dyDescent="0.25">
      <c r="A332" s="1">
        <v>43973</v>
      </c>
      <c r="B332">
        <v>292</v>
      </c>
      <c r="C332">
        <v>-1.8487395E-2</v>
      </c>
      <c r="D332">
        <v>442</v>
      </c>
      <c r="E332">
        <v>-4.8439181999999997E-2</v>
      </c>
      <c r="F332">
        <v>2.9951787000000001E-2</v>
      </c>
      <c r="G332">
        <v>2.9951787000000001E-2</v>
      </c>
      <c r="H332">
        <v>1.7514608000000001E-2</v>
      </c>
      <c r="I332">
        <v>4.7717656999999997E-2</v>
      </c>
      <c r="J332">
        <v>1</v>
      </c>
      <c r="K332">
        <v>0</v>
      </c>
      <c r="L332">
        <v>0</v>
      </c>
      <c r="M332">
        <v>5</v>
      </c>
      <c r="N332">
        <v>3.966071125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W332">
        <v>0</v>
      </c>
      <c r="X332">
        <v>0</v>
      </c>
      <c r="Y332">
        <v>0</v>
      </c>
      <c r="Z332">
        <v>4.7717656999999997E-2</v>
      </c>
      <c r="AA332">
        <v>0</v>
      </c>
      <c r="AB332" t="s">
        <v>33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f t="shared" si="5"/>
        <v>0</v>
      </c>
    </row>
    <row r="333" spans="1:34" x14ac:dyDescent="0.25">
      <c r="A333" s="1">
        <v>43976</v>
      </c>
      <c r="B333">
        <v>292</v>
      </c>
      <c r="C333">
        <v>0</v>
      </c>
      <c r="D333">
        <v>460</v>
      </c>
      <c r="E333">
        <v>4.0723981999999999E-2</v>
      </c>
      <c r="F333">
        <v>-4.0723981999999999E-2</v>
      </c>
      <c r="G333">
        <v>4.0723981999999999E-2</v>
      </c>
      <c r="H333">
        <v>1.1974387E-2</v>
      </c>
      <c r="I333">
        <v>3.9960957999999998E-2</v>
      </c>
      <c r="J333">
        <v>0</v>
      </c>
      <c r="K333">
        <v>0</v>
      </c>
      <c r="L333">
        <v>0</v>
      </c>
      <c r="M333">
        <v>5</v>
      </c>
      <c r="N333" t="s">
        <v>36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W333">
        <v>0</v>
      </c>
      <c r="X333">
        <v>0</v>
      </c>
      <c r="Y333">
        <v>0</v>
      </c>
      <c r="Z333">
        <v>3.9960957999999998E-2</v>
      </c>
      <c r="AA333">
        <v>0</v>
      </c>
      <c r="AB333" t="s">
        <v>33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f t="shared" si="5"/>
        <v>0</v>
      </c>
    </row>
    <row r="334" spans="1:34" x14ac:dyDescent="0.25">
      <c r="A334" s="1">
        <v>43977</v>
      </c>
      <c r="B334">
        <v>295.5</v>
      </c>
      <c r="C334">
        <v>1.1986301E-2</v>
      </c>
      <c r="D334">
        <v>460</v>
      </c>
      <c r="E334">
        <v>0</v>
      </c>
      <c r="F334">
        <v>1.1986301E-2</v>
      </c>
      <c r="G334">
        <v>1.1986301E-2</v>
      </c>
      <c r="H334">
        <v>1.286122E-2</v>
      </c>
      <c r="I334">
        <v>3.3319281999999999E-2</v>
      </c>
      <c r="J334">
        <v>1</v>
      </c>
      <c r="K334">
        <v>0</v>
      </c>
      <c r="L334">
        <v>0</v>
      </c>
      <c r="M334">
        <v>5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W334">
        <v>0</v>
      </c>
      <c r="X334">
        <v>0</v>
      </c>
      <c r="Y334">
        <v>0</v>
      </c>
      <c r="Z334">
        <v>3.3319281999999999E-2</v>
      </c>
      <c r="AA334">
        <v>0</v>
      </c>
      <c r="AB334" t="s">
        <v>33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f t="shared" si="5"/>
        <v>0</v>
      </c>
    </row>
    <row r="335" spans="1:34" x14ac:dyDescent="0.25">
      <c r="A335" s="1">
        <v>43978</v>
      </c>
      <c r="B335">
        <v>296.5</v>
      </c>
      <c r="C335">
        <v>3.3840950000000002E-3</v>
      </c>
      <c r="D335">
        <v>464.5</v>
      </c>
      <c r="E335">
        <v>9.7826089999999994E-3</v>
      </c>
      <c r="F335">
        <v>-6.3985140000000001E-3</v>
      </c>
      <c r="G335">
        <v>6.3985140000000001E-3</v>
      </c>
      <c r="H335">
        <v>1.2481844000000001E-2</v>
      </c>
      <c r="I335">
        <v>3.2476417E-2</v>
      </c>
      <c r="J335">
        <v>0</v>
      </c>
      <c r="K335">
        <v>0</v>
      </c>
      <c r="L335">
        <v>0</v>
      </c>
      <c r="M335">
        <v>5</v>
      </c>
      <c r="N335">
        <v>4.5286962019999999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W335">
        <v>0</v>
      </c>
      <c r="X335">
        <v>0</v>
      </c>
      <c r="Y335">
        <v>0</v>
      </c>
      <c r="Z335">
        <v>3.2476417E-2</v>
      </c>
      <c r="AA335">
        <v>0</v>
      </c>
      <c r="AB335" t="s">
        <v>33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f t="shared" si="5"/>
        <v>0</v>
      </c>
    </row>
    <row r="336" spans="1:34" x14ac:dyDescent="0.25">
      <c r="A336" s="1">
        <v>43979</v>
      </c>
      <c r="B336">
        <v>294</v>
      </c>
      <c r="C336">
        <v>-8.4317030000000005E-3</v>
      </c>
      <c r="D336">
        <v>460</v>
      </c>
      <c r="E336">
        <v>-9.687836E-3</v>
      </c>
      <c r="F336">
        <v>1.256133E-3</v>
      </c>
      <c r="G336">
        <v>1.256133E-3</v>
      </c>
      <c r="H336">
        <v>1.1633210999999999E-2</v>
      </c>
      <c r="I336">
        <v>3.2337038999999998E-2</v>
      </c>
      <c r="J336">
        <v>1</v>
      </c>
      <c r="K336">
        <v>0</v>
      </c>
      <c r="L336">
        <v>0</v>
      </c>
      <c r="M336">
        <v>5</v>
      </c>
      <c r="N336">
        <v>1.797719734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W336">
        <v>0</v>
      </c>
      <c r="X336">
        <v>0</v>
      </c>
      <c r="Y336">
        <v>0</v>
      </c>
      <c r="Z336">
        <v>3.2337038999999998E-2</v>
      </c>
      <c r="AA336">
        <v>0</v>
      </c>
      <c r="AB336" t="s">
        <v>33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f t="shared" si="5"/>
        <v>0</v>
      </c>
    </row>
    <row r="337" spans="1:34" x14ac:dyDescent="0.25">
      <c r="A337" s="1">
        <v>43980</v>
      </c>
      <c r="B337">
        <v>292</v>
      </c>
      <c r="C337">
        <v>-6.8027210000000003E-3</v>
      </c>
      <c r="D337">
        <v>463</v>
      </c>
      <c r="E337">
        <v>6.5217390000000004E-3</v>
      </c>
      <c r="F337">
        <v>-1.332446E-2</v>
      </c>
      <c r="G337">
        <v>1.332446E-2</v>
      </c>
      <c r="H337">
        <v>8.2536420000000003E-3</v>
      </c>
      <c r="I337">
        <v>1.8988845000000001E-2</v>
      </c>
      <c r="J337">
        <v>0</v>
      </c>
      <c r="K337">
        <v>0</v>
      </c>
      <c r="L337">
        <v>0</v>
      </c>
      <c r="M337">
        <v>5</v>
      </c>
      <c r="N337">
        <v>1.5201235850000001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W337">
        <v>0</v>
      </c>
      <c r="X337">
        <v>0</v>
      </c>
      <c r="Y337">
        <v>0</v>
      </c>
      <c r="Z337">
        <v>1.8988845000000001E-2</v>
      </c>
      <c r="AA337">
        <v>0</v>
      </c>
      <c r="AB337" t="s">
        <v>33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f t="shared" si="5"/>
        <v>0</v>
      </c>
    </row>
    <row r="338" spans="1:34" x14ac:dyDescent="0.25">
      <c r="A338" s="1">
        <v>43983</v>
      </c>
      <c r="B338">
        <v>295.5</v>
      </c>
      <c r="C338">
        <v>1.1986301E-2</v>
      </c>
      <c r="D338">
        <v>461.5</v>
      </c>
      <c r="E338">
        <v>-3.239741E-3</v>
      </c>
      <c r="F338">
        <v>1.5226042E-2</v>
      </c>
      <c r="G338">
        <v>1.5226042E-2</v>
      </c>
      <c r="H338">
        <v>9.8333069999999995E-3</v>
      </c>
      <c r="I338">
        <v>7.7508400000000002E-3</v>
      </c>
      <c r="J338">
        <v>1</v>
      </c>
      <c r="K338">
        <v>1</v>
      </c>
      <c r="L338">
        <v>1</v>
      </c>
      <c r="M338">
        <v>5</v>
      </c>
      <c r="N338">
        <v>0.42212327100000002</v>
      </c>
      <c r="O338">
        <v>-3</v>
      </c>
      <c r="P338">
        <v>5</v>
      </c>
      <c r="Q338">
        <v>8</v>
      </c>
      <c r="R338">
        <v>886.5</v>
      </c>
      <c r="S338">
        <v>-2307.5</v>
      </c>
      <c r="T338">
        <v>0</v>
      </c>
      <c r="U338">
        <v>0</v>
      </c>
      <c r="V338" t="s">
        <v>34</v>
      </c>
      <c r="W338">
        <v>886.5</v>
      </c>
      <c r="X338">
        <v>-2307.5</v>
      </c>
      <c r="Y338">
        <v>0</v>
      </c>
      <c r="Z338">
        <v>9.8333069999999995E-3</v>
      </c>
      <c r="AA338">
        <v>3194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3194</v>
      </c>
      <c r="AH338">
        <f t="shared" si="5"/>
        <v>0</v>
      </c>
    </row>
    <row r="339" spans="1:34" x14ac:dyDescent="0.25">
      <c r="A339" s="1">
        <v>43984</v>
      </c>
      <c r="B339">
        <v>296.5</v>
      </c>
      <c r="C339">
        <v>3.3840950000000002E-3</v>
      </c>
      <c r="D339">
        <v>485</v>
      </c>
      <c r="E339">
        <v>5.092091E-2</v>
      </c>
      <c r="F339">
        <v>-4.7536815000000003E-2</v>
      </c>
      <c r="G339">
        <v>4.7536815000000003E-2</v>
      </c>
      <c r="H339">
        <v>8.3885049999999992E-3</v>
      </c>
      <c r="I339">
        <v>2.3695326999999999E-2</v>
      </c>
      <c r="J339">
        <v>0</v>
      </c>
      <c r="K339">
        <v>0</v>
      </c>
      <c r="L339">
        <v>-1</v>
      </c>
      <c r="M339">
        <v>5</v>
      </c>
      <c r="N339">
        <v>24.613347489999999</v>
      </c>
      <c r="O339">
        <v>3</v>
      </c>
      <c r="P339">
        <v>-5</v>
      </c>
      <c r="Q339">
        <v>8</v>
      </c>
      <c r="R339">
        <v>-889.5</v>
      </c>
      <c r="S339">
        <v>2425</v>
      </c>
      <c r="T339">
        <v>-3</v>
      </c>
      <c r="U339">
        <v>117.5</v>
      </c>
      <c r="V339" t="s">
        <v>35</v>
      </c>
      <c r="W339">
        <v>-889.5</v>
      </c>
      <c r="X339">
        <v>2425</v>
      </c>
      <c r="Y339">
        <v>114.5</v>
      </c>
      <c r="Z339">
        <v>2.3695326999999999E-2</v>
      </c>
      <c r="AA339">
        <v>3314.5</v>
      </c>
      <c r="AB339">
        <v>0</v>
      </c>
      <c r="AC339">
        <v>114.5</v>
      </c>
      <c r="AD339">
        <v>3.4545180000000002E-2</v>
      </c>
      <c r="AE339">
        <v>0</v>
      </c>
      <c r="AF339">
        <v>114.5</v>
      </c>
      <c r="AG339">
        <v>0</v>
      </c>
      <c r="AH339">
        <f t="shared" si="5"/>
        <v>3.454518026851712E-2</v>
      </c>
    </row>
    <row r="340" spans="1:34" x14ac:dyDescent="0.25">
      <c r="A340" s="1">
        <v>43985</v>
      </c>
      <c r="B340">
        <v>301</v>
      </c>
      <c r="C340">
        <v>1.5177065999999999E-2</v>
      </c>
      <c r="D340">
        <v>490</v>
      </c>
      <c r="E340">
        <v>1.0309278E-2</v>
      </c>
      <c r="F340">
        <v>4.8677870000000002E-3</v>
      </c>
      <c r="G340">
        <v>4.8677870000000002E-3</v>
      </c>
      <c r="H340">
        <v>1.0676372E-2</v>
      </c>
      <c r="I340">
        <v>2.3690513E-2</v>
      </c>
      <c r="J340">
        <v>1</v>
      </c>
      <c r="K340">
        <v>0</v>
      </c>
      <c r="L340">
        <v>0</v>
      </c>
      <c r="M340">
        <v>5</v>
      </c>
      <c r="N340">
        <v>1.1057833189999999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W340">
        <v>0</v>
      </c>
      <c r="X340">
        <v>0</v>
      </c>
      <c r="Y340">
        <v>0</v>
      </c>
      <c r="Z340">
        <v>2.3690513E-2</v>
      </c>
      <c r="AA340">
        <v>0</v>
      </c>
      <c r="AB340" t="s">
        <v>33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f t="shared" si="5"/>
        <v>0</v>
      </c>
    </row>
    <row r="341" spans="1:34" x14ac:dyDescent="0.25">
      <c r="A341" s="1">
        <v>43986</v>
      </c>
      <c r="B341">
        <v>306</v>
      </c>
      <c r="C341">
        <v>1.6611296000000001E-2</v>
      </c>
      <c r="D341">
        <v>490</v>
      </c>
      <c r="E341">
        <v>0</v>
      </c>
      <c r="F341">
        <v>1.6611296000000001E-2</v>
      </c>
      <c r="G341">
        <v>1.6611296000000001E-2</v>
      </c>
      <c r="H341">
        <v>9.7718609999999997E-3</v>
      </c>
      <c r="I341">
        <v>2.1908245E-2</v>
      </c>
      <c r="J341">
        <v>1</v>
      </c>
      <c r="K341">
        <v>0</v>
      </c>
      <c r="L341">
        <v>0</v>
      </c>
      <c r="M341">
        <v>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W341">
        <v>0</v>
      </c>
      <c r="X341">
        <v>0</v>
      </c>
      <c r="Y341">
        <v>0</v>
      </c>
      <c r="Z341">
        <v>2.1908245E-2</v>
      </c>
      <c r="AA341">
        <v>0</v>
      </c>
      <c r="AB341" t="s">
        <v>33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f t="shared" si="5"/>
        <v>0</v>
      </c>
    </row>
    <row r="342" spans="1:34" x14ac:dyDescent="0.25">
      <c r="A342" s="1">
        <v>43987</v>
      </c>
      <c r="B342">
        <v>311.5</v>
      </c>
      <c r="C342">
        <v>1.7973856E-2</v>
      </c>
      <c r="D342">
        <v>494</v>
      </c>
      <c r="E342">
        <v>8.1632649999999994E-3</v>
      </c>
      <c r="F342">
        <v>9.8105910000000005E-3</v>
      </c>
      <c r="G342">
        <v>9.8105910000000005E-3</v>
      </c>
      <c r="H342">
        <v>5.8311669999999999E-3</v>
      </c>
      <c r="I342">
        <v>2.1800758999999999E-2</v>
      </c>
      <c r="J342">
        <v>1</v>
      </c>
      <c r="K342">
        <v>0</v>
      </c>
      <c r="L342">
        <v>0</v>
      </c>
      <c r="M342">
        <v>5</v>
      </c>
      <c r="N342">
        <v>0.72026373099999996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W342">
        <v>0</v>
      </c>
      <c r="X342">
        <v>0</v>
      </c>
      <c r="Y342">
        <v>0</v>
      </c>
      <c r="Z342">
        <v>2.1800758999999999E-2</v>
      </c>
      <c r="AA342">
        <v>0</v>
      </c>
      <c r="AB342" t="s">
        <v>33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f t="shared" si="5"/>
        <v>0</v>
      </c>
    </row>
    <row r="343" spans="1:34" x14ac:dyDescent="0.25">
      <c r="A343" s="1">
        <v>43990</v>
      </c>
      <c r="B343">
        <v>318</v>
      </c>
      <c r="C343">
        <v>2.0866774000000001E-2</v>
      </c>
      <c r="D343">
        <v>494.5</v>
      </c>
      <c r="E343">
        <v>1.012146E-3</v>
      </c>
      <c r="F343">
        <v>1.9854627999999999E-2</v>
      </c>
      <c r="G343">
        <v>1.9854627999999999E-2</v>
      </c>
      <c r="H343">
        <v>6.719839E-3</v>
      </c>
      <c r="I343">
        <v>2.1068304999999999E-2</v>
      </c>
      <c r="J343">
        <v>1</v>
      </c>
      <c r="K343">
        <v>0</v>
      </c>
      <c r="L343">
        <v>0</v>
      </c>
      <c r="M343">
        <v>5</v>
      </c>
      <c r="N343">
        <v>7.5427016E-2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W343">
        <v>0</v>
      </c>
      <c r="X343">
        <v>0</v>
      </c>
      <c r="Y343">
        <v>0</v>
      </c>
      <c r="Z343">
        <v>2.1068304999999999E-2</v>
      </c>
      <c r="AA343">
        <v>0</v>
      </c>
      <c r="AB343" t="s">
        <v>33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f t="shared" si="5"/>
        <v>0</v>
      </c>
    </row>
    <row r="344" spans="1:34" x14ac:dyDescent="0.25">
      <c r="A344" s="1">
        <v>43991</v>
      </c>
      <c r="B344">
        <v>319</v>
      </c>
      <c r="C344">
        <v>3.1446540000000002E-3</v>
      </c>
      <c r="D344">
        <v>497.5</v>
      </c>
      <c r="E344">
        <v>6.0667339999999998E-3</v>
      </c>
      <c r="F344">
        <v>-2.9220800000000001E-3</v>
      </c>
      <c r="G344">
        <v>2.9220800000000001E-3</v>
      </c>
      <c r="H344">
        <v>6.8216370000000002E-3</v>
      </c>
      <c r="I344">
        <v>4.4770180000000001E-3</v>
      </c>
      <c r="J344">
        <v>0</v>
      </c>
      <c r="K344">
        <v>0</v>
      </c>
      <c r="L344">
        <v>0</v>
      </c>
      <c r="M344">
        <v>5</v>
      </c>
      <c r="N344">
        <v>3.00873876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W344">
        <v>0</v>
      </c>
      <c r="X344">
        <v>0</v>
      </c>
      <c r="Y344">
        <v>0</v>
      </c>
      <c r="Z344">
        <v>6.8216370000000002E-3</v>
      </c>
      <c r="AA344">
        <v>0</v>
      </c>
      <c r="AB344" t="s">
        <v>33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f t="shared" si="5"/>
        <v>0</v>
      </c>
    </row>
    <row r="345" spans="1:34" x14ac:dyDescent="0.25">
      <c r="A345" s="1">
        <v>43992</v>
      </c>
      <c r="B345">
        <v>322.5</v>
      </c>
      <c r="C345">
        <v>1.0971787E-2</v>
      </c>
      <c r="D345">
        <v>500</v>
      </c>
      <c r="E345">
        <v>5.0251260000000004E-3</v>
      </c>
      <c r="F345">
        <v>5.9466609999999998E-3</v>
      </c>
      <c r="G345">
        <v>5.9466609999999998E-3</v>
      </c>
      <c r="H345">
        <v>7.0131009999999999E-3</v>
      </c>
      <c r="I345">
        <v>3.448479E-3</v>
      </c>
      <c r="J345">
        <v>1</v>
      </c>
      <c r="K345">
        <v>0</v>
      </c>
      <c r="L345">
        <v>0</v>
      </c>
      <c r="M345">
        <v>5</v>
      </c>
      <c r="N345">
        <v>0.71008419700000003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W345">
        <v>0</v>
      </c>
      <c r="X345">
        <v>0</v>
      </c>
      <c r="Y345">
        <v>0</v>
      </c>
      <c r="Z345">
        <v>7.0131009999999999E-3</v>
      </c>
      <c r="AA345">
        <v>0</v>
      </c>
      <c r="AB345" t="s">
        <v>33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f t="shared" si="5"/>
        <v>0</v>
      </c>
    </row>
    <row r="346" spans="1:34" x14ac:dyDescent="0.25">
      <c r="A346" s="1">
        <v>43993</v>
      </c>
      <c r="B346">
        <v>320.5</v>
      </c>
      <c r="C346">
        <v>-6.2015500000000001E-3</v>
      </c>
      <c r="D346">
        <v>496.5</v>
      </c>
      <c r="E346">
        <v>-7.0000000000000001E-3</v>
      </c>
      <c r="F346">
        <v>7.9845000000000003E-4</v>
      </c>
      <c r="G346">
        <v>7.9845000000000003E-4</v>
      </c>
      <c r="H346">
        <v>1.1067906000000001E-2</v>
      </c>
      <c r="I346">
        <v>5.9899159999999996E-3</v>
      </c>
      <c r="J346">
        <v>1</v>
      </c>
      <c r="K346">
        <v>0</v>
      </c>
      <c r="L346">
        <v>0</v>
      </c>
      <c r="M346">
        <v>5</v>
      </c>
      <c r="N346">
        <v>1.7485939939999999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W346">
        <v>0</v>
      </c>
      <c r="X346">
        <v>0</v>
      </c>
      <c r="Y346">
        <v>0</v>
      </c>
      <c r="Z346">
        <v>1.1067906000000001E-2</v>
      </c>
      <c r="AA346">
        <v>0</v>
      </c>
      <c r="AB346" t="s">
        <v>33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f t="shared" si="5"/>
        <v>0</v>
      </c>
    </row>
    <row r="347" spans="1:34" x14ac:dyDescent="0.25">
      <c r="A347" s="1">
        <v>43994</v>
      </c>
      <c r="B347">
        <v>316</v>
      </c>
      <c r="C347">
        <v>-1.4040561999999999E-2</v>
      </c>
      <c r="D347">
        <v>492.5</v>
      </c>
      <c r="E347">
        <v>-8.0563949999999992E-3</v>
      </c>
      <c r="F347">
        <v>-5.9841670000000003E-3</v>
      </c>
      <c r="G347">
        <v>5.9841670000000003E-3</v>
      </c>
      <c r="H347">
        <v>1.3764336E-2</v>
      </c>
      <c r="I347">
        <v>6.6189830000000002E-3</v>
      </c>
      <c r="J347">
        <v>0</v>
      </c>
      <c r="K347">
        <v>0</v>
      </c>
      <c r="L347">
        <v>0</v>
      </c>
      <c r="M347">
        <v>5</v>
      </c>
      <c r="N347">
        <v>0.89428389699999999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W347">
        <v>0</v>
      </c>
      <c r="X347">
        <v>0</v>
      </c>
      <c r="Y347">
        <v>0</v>
      </c>
      <c r="Z347">
        <v>1.3764336E-2</v>
      </c>
      <c r="AA347">
        <v>0</v>
      </c>
      <c r="AB347" t="s">
        <v>33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f t="shared" si="5"/>
        <v>0</v>
      </c>
    </row>
    <row r="348" spans="1:34" x14ac:dyDescent="0.25">
      <c r="A348" s="1">
        <v>43997</v>
      </c>
      <c r="B348">
        <v>309.5</v>
      </c>
      <c r="C348">
        <v>-2.056962E-2</v>
      </c>
      <c r="D348">
        <v>492.5</v>
      </c>
      <c r="E348">
        <v>0</v>
      </c>
      <c r="F348">
        <v>-2.056962E-2</v>
      </c>
      <c r="G348">
        <v>2.056962E-2</v>
      </c>
      <c r="H348">
        <v>1.2712662E-2</v>
      </c>
      <c r="I348">
        <v>6.5730349999999996E-3</v>
      </c>
      <c r="J348">
        <v>0</v>
      </c>
      <c r="K348">
        <v>0</v>
      </c>
      <c r="L348">
        <v>0</v>
      </c>
      <c r="M348">
        <v>5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W348">
        <v>0</v>
      </c>
      <c r="X348">
        <v>0</v>
      </c>
      <c r="Y348">
        <v>0</v>
      </c>
      <c r="Z348">
        <v>1.2712662E-2</v>
      </c>
      <c r="AA348">
        <v>0</v>
      </c>
      <c r="AB348" t="s">
        <v>33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f t="shared" si="5"/>
        <v>0</v>
      </c>
    </row>
    <row r="349" spans="1:34" x14ac:dyDescent="0.25">
      <c r="A349" s="1">
        <v>43998</v>
      </c>
      <c r="B349">
        <v>315</v>
      </c>
      <c r="C349">
        <v>1.7770597999999999E-2</v>
      </c>
      <c r="D349">
        <v>510</v>
      </c>
      <c r="E349">
        <v>3.5532994999999998E-2</v>
      </c>
      <c r="F349">
        <v>-1.7762396999999999E-2</v>
      </c>
      <c r="G349">
        <v>1.7762396999999999E-2</v>
      </c>
      <c r="H349">
        <v>1.6322884999999999E-2</v>
      </c>
      <c r="I349">
        <v>1.7830335999999999E-2</v>
      </c>
      <c r="J349">
        <v>0</v>
      </c>
      <c r="K349">
        <v>0</v>
      </c>
      <c r="L349">
        <v>0</v>
      </c>
      <c r="M349">
        <v>5</v>
      </c>
      <c r="N349">
        <v>3.2373481000000002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W349">
        <v>0</v>
      </c>
      <c r="X349">
        <v>0</v>
      </c>
      <c r="Y349">
        <v>0</v>
      </c>
      <c r="Z349">
        <v>1.7830335999999999E-2</v>
      </c>
      <c r="AA349">
        <v>0</v>
      </c>
      <c r="AB349" t="s">
        <v>33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f t="shared" si="5"/>
        <v>0</v>
      </c>
    </row>
    <row r="350" spans="1:34" x14ac:dyDescent="0.25">
      <c r="A350" s="1">
        <v>43999</v>
      </c>
      <c r="B350">
        <v>315</v>
      </c>
      <c r="C350">
        <v>0</v>
      </c>
      <c r="D350">
        <v>510</v>
      </c>
      <c r="E350">
        <v>0</v>
      </c>
      <c r="F350">
        <v>0</v>
      </c>
      <c r="G350">
        <v>0</v>
      </c>
      <c r="H350">
        <v>1.4733646E-2</v>
      </c>
      <c r="I350">
        <v>1.7976658E-2</v>
      </c>
      <c r="J350">
        <v>1</v>
      </c>
      <c r="K350">
        <v>0</v>
      </c>
      <c r="L350">
        <v>0</v>
      </c>
      <c r="M350">
        <v>5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W350">
        <v>0</v>
      </c>
      <c r="X350">
        <v>0</v>
      </c>
      <c r="Y350">
        <v>0</v>
      </c>
      <c r="Z350">
        <v>1.7976658E-2</v>
      </c>
      <c r="AA350">
        <v>0</v>
      </c>
      <c r="AB350" t="s">
        <v>33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f t="shared" si="5"/>
        <v>0</v>
      </c>
    </row>
    <row r="351" spans="1:34" x14ac:dyDescent="0.25">
      <c r="A351" s="1">
        <v>44000</v>
      </c>
      <c r="B351">
        <v>314.5</v>
      </c>
      <c r="C351">
        <v>-1.5873020000000001E-3</v>
      </c>
      <c r="D351">
        <v>513</v>
      </c>
      <c r="E351">
        <v>5.8823529999999999E-3</v>
      </c>
      <c r="F351">
        <v>-7.4696550000000004E-3</v>
      </c>
      <c r="G351">
        <v>7.4696550000000004E-3</v>
      </c>
      <c r="H351">
        <v>1.4753392000000001E-2</v>
      </c>
      <c r="I351">
        <v>1.6878516999999999E-2</v>
      </c>
      <c r="J351">
        <v>0</v>
      </c>
      <c r="K351">
        <v>0</v>
      </c>
      <c r="L351">
        <v>0</v>
      </c>
      <c r="M351">
        <v>5</v>
      </c>
      <c r="N351">
        <v>6.0448891800000002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W351">
        <v>0</v>
      </c>
      <c r="X351">
        <v>0</v>
      </c>
      <c r="Y351">
        <v>0</v>
      </c>
      <c r="Z351">
        <v>1.6878516999999999E-2</v>
      </c>
      <c r="AA351">
        <v>0</v>
      </c>
      <c r="AB351" t="s">
        <v>33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f t="shared" si="5"/>
        <v>0</v>
      </c>
    </row>
    <row r="352" spans="1:34" x14ac:dyDescent="0.25">
      <c r="A352" s="1">
        <v>44001</v>
      </c>
      <c r="B352">
        <v>314.5</v>
      </c>
      <c r="C352">
        <v>0</v>
      </c>
      <c r="D352">
        <v>546</v>
      </c>
      <c r="E352">
        <v>6.4327485000000004E-2</v>
      </c>
      <c r="F352">
        <v>-6.4327485000000004E-2</v>
      </c>
      <c r="G352">
        <v>6.4327485000000004E-2</v>
      </c>
      <c r="H352">
        <v>1.3579166E-2</v>
      </c>
      <c r="I352">
        <v>2.8279461999999998E-2</v>
      </c>
      <c r="J352">
        <v>0</v>
      </c>
      <c r="K352">
        <v>0</v>
      </c>
      <c r="L352">
        <v>0</v>
      </c>
      <c r="M352">
        <v>5</v>
      </c>
      <c r="N352" t="s">
        <v>36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W352">
        <v>0</v>
      </c>
      <c r="X352">
        <v>0</v>
      </c>
      <c r="Y352">
        <v>0</v>
      </c>
      <c r="Z352">
        <v>2.8279461999999998E-2</v>
      </c>
      <c r="AA352">
        <v>0</v>
      </c>
      <c r="AB352" t="s">
        <v>33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f t="shared" si="5"/>
        <v>0</v>
      </c>
    </row>
    <row r="353" spans="1:34" x14ac:dyDescent="0.25">
      <c r="A353" s="1">
        <v>44004</v>
      </c>
      <c r="B353">
        <v>312</v>
      </c>
      <c r="C353">
        <v>-7.9491260000000008E-3</v>
      </c>
      <c r="D353">
        <v>576</v>
      </c>
      <c r="E353">
        <v>5.4945055E-2</v>
      </c>
      <c r="F353">
        <v>-6.2894180999999993E-2</v>
      </c>
      <c r="G353">
        <v>6.2894180999999993E-2</v>
      </c>
      <c r="H353">
        <v>9.5909069999999992E-3</v>
      </c>
      <c r="I353">
        <v>2.8679526E-2</v>
      </c>
      <c r="J353">
        <v>0</v>
      </c>
      <c r="K353">
        <v>1</v>
      </c>
      <c r="L353">
        <v>1</v>
      </c>
      <c r="M353">
        <v>5</v>
      </c>
      <c r="N353">
        <v>12.76077768</v>
      </c>
      <c r="O353">
        <v>64</v>
      </c>
      <c r="P353">
        <v>-5</v>
      </c>
      <c r="Q353">
        <v>69</v>
      </c>
      <c r="R353">
        <v>-19968</v>
      </c>
      <c r="S353">
        <v>2880</v>
      </c>
      <c r="T353">
        <v>0</v>
      </c>
      <c r="U353">
        <v>0</v>
      </c>
      <c r="V353" t="s">
        <v>34</v>
      </c>
      <c r="W353">
        <v>-19968</v>
      </c>
      <c r="X353">
        <v>2880</v>
      </c>
      <c r="Y353">
        <v>0</v>
      </c>
      <c r="Z353">
        <v>2.8679526E-2</v>
      </c>
      <c r="AA353">
        <v>22848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22848</v>
      </c>
      <c r="AH353">
        <f t="shared" si="5"/>
        <v>0</v>
      </c>
    </row>
    <row r="354" spans="1:34" x14ac:dyDescent="0.25">
      <c r="A354" s="1">
        <v>44005</v>
      </c>
      <c r="B354">
        <v>315</v>
      </c>
      <c r="C354">
        <v>9.6153850000000006E-3</v>
      </c>
      <c r="D354">
        <v>574</v>
      </c>
      <c r="E354">
        <v>-3.4722220000000001E-3</v>
      </c>
      <c r="F354">
        <v>1.3087606999999999E-2</v>
      </c>
      <c r="G354">
        <v>1.3087606999999999E-2</v>
      </c>
      <c r="H354">
        <v>6.2881339999999999E-3</v>
      </c>
      <c r="I354">
        <v>3.2566502999999997E-2</v>
      </c>
      <c r="J354">
        <v>1</v>
      </c>
      <c r="K354">
        <v>0</v>
      </c>
      <c r="L354">
        <v>-1</v>
      </c>
      <c r="M354">
        <v>5</v>
      </c>
      <c r="N354">
        <v>0.65802469100000005</v>
      </c>
      <c r="O354">
        <v>-64</v>
      </c>
      <c r="P354">
        <v>5</v>
      </c>
      <c r="Q354">
        <v>69</v>
      </c>
      <c r="R354">
        <v>20160</v>
      </c>
      <c r="S354">
        <v>-2870</v>
      </c>
      <c r="T354">
        <v>192</v>
      </c>
      <c r="U354">
        <v>10</v>
      </c>
      <c r="V354" t="s">
        <v>35</v>
      </c>
      <c r="W354">
        <v>20160</v>
      </c>
      <c r="X354">
        <v>-2870</v>
      </c>
      <c r="Y354">
        <v>202</v>
      </c>
      <c r="Z354">
        <v>3.2566502999999997E-2</v>
      </c>
      <c r="AA354">
        <v>23030</v>
      </c>
      <c r="AB354">
        <v>0.01</v>
      </c>
      <c r="AC354">
        <v>202</v>
      </c>
      <c r="AD354">
        <v>8.7711679999999993E-3</v>
      </c>
      <c r="AE354">
        <v>0</v>
      </c>
      <c r="AF354">
        <v>202</v>
      </c>
      <c r="AG354">
        <v>0</v>
      </c>
      <c r="AH354">
        <f t="shared" si="5"/>
        <v>8.7711680416847591E-3</v>
      </c>
    </row>
    <row r="355" spans="1:34" x14ac:dyDescent="0.25">
      <c r="A355" s="1">
        <v>44006</v>
      </c>
      <c r="B355">
        <v>317.5</v>
      </c>
      <c r="C355">
        <v>7.9365080000000001E-3</v>
      </c>
      <c r="D355">
        <v>580</v>
      </c>
      <c r="E355">
        <v>1.0452962E-2</v>
      </c>
      <c r="F355">
        <v>-2.516454E-3</v>
      </c>
      <c r="G355">
        <v>2.516454E-3</v>
      </c>
      <c r="H355">
        <v>7.2163419999999997E-3</v>
      </c>
      <c r="I355">
        <v>3.0906884999999999E-2</v>
      </c>
      <c r="J355">
        <v>0</v>
      </c>
      <c r="K355">
        <v>0</v>
      </c>
      <c r="L355">
        <v>0</v>
      </c>
      <c r="M355">
        <v>5</v>
      </c>
      <c r="N355">
        <v>2.4059919340000002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W355">
        <v>0</v>
      </c>
      <c r="X355">
        <v>0</v>
      </c>
      <c r="Y355">
        <v>0</v>
      </c>
      <c r="Z355">
        <v>3.0906884999999999E-2</v>
      </c>
      <c r="AA355">
        <v>0</v>
      </c>
      <c r="AB355" t="s">
        <v>33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f t="shared" si="5"/>
        <v>0</v>
      </c>
    </row>
    <row r="356" spans="1:34" x14ac:dyDescent="0.25">
      <c r="A356" s="1">
        <v>44011</v>
      </c>
      <c r="B356">
        <v>312</v>
      </c>
      <c r="C356">
        <v>-1.7322835000000002E-2</v>
      </c>
      <c r="D356">
        <v>565</v>
      </c>
      <c r="E356">
        <v>-2.5862069000000001E-2</v>
      </c>
      <c r="F356">
        <v>8.5392339999999997E-3</v>
      </c>
      <c r="G356">
        <v>8.5392339999999997E-3</v>
      </c>
      <c r="H356">
        <v>1.1256033E-2</v>
      </c>
      <c r="I356">
        <v>3.8508028E-2</v>
      </c>
      <c r="J356">
        <v>1</v>
      </c>
      <c r="K356">
        <v>0</v>
      </c>
      <c r="L356">
        <v>0</v>
      </c>
      <c r="M356">
        <v>5</v>
      </c>
      <c r="N356">
        <v>2.7035733660000001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W356">
        <v>0</v>
      </c>
      <c r="X356">
        <v>0</v>
      </c>
      <c r="Y356">
        <v>0</v>
      </c>
      <c r="Z356">
        <v>3.8508028E-2</v>
      </c>
      <c r="AA356">
        <v>0</v>
      </c>
      <c r="AB356" t="s">
        <v>33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f t="shared" si="5"/>
        <v>0</v>
      </c>
    </row>
    <row r="357" spans="1:34" x14ac:dyDescent="0.25">
      <c r="A357" s="1">
        <v>44012</v>
      </c>
      <c r="B357">
        <v>313</v>
      </c>
      <c r="C357">
        <v>3.2051279999999998E-3</v>
      </c>
      <c r="D357">
        <v>579</v>
      </c>
      <c r="E357">
        <v>2.4778761E-2</v>
      </c>
      <c r="F357">
        <v>-2.1573632999999998E-2</v>
      </c>
      <c r="G357">
        <v>2.1573632999999998E-2</v>
      </c>
      <c r="H357">
        <v>1.1455445E-2</v>
      </c>
      <c r="I357">
        <v>3.0342839999999999E-2</v>
      </c>
      <c r="J357">
        <v>0</v>
      </c>
      <c r="K357">
        <v>0</v>
      </c>
      <c r="L357">
        <v>0</v>
      </c>
      <c r="M357">
        <v>5</v>
      </c>
      <c r="N357">
        <v>14.30106591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W357">
        <v>0</v>
      </c>
      <c r="X357">
        <v>0</v>
      </c>
      <c r="Y357">
        <v>0</v>
      </c>
      <c r="Z357">
        <v>3.0342839999999999E-2</v>
      </c>
      <c r="AA357">
        <v>0</v>
      </c>
      <c r="AB357" t="s">
        <v>33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f t="shared" si="5"/>
        <v>0</v>
      </c>
    </row>
    <row r="358" spans="1:34" x14ac:dyDescent="0.25">
      <c r="A358" s="1">
        <v>44013</v>
      </c>
      <c r="B358">
        <v>317.5</v>
      </c>
      <c r="C358">
        <v>1.4376997000000001E-2</v>
      </c>
      <c r="D358">
        <v>577</v>
      </c>
      <c r="E358">
        <v>-3.4542309999999999E-3</v>
      </c>
      <c r="F358">
        <v>1.7831228000000001E-2</v>
      </c>
      <c r="G358">
        <v>1.7831228000000001E-2</v>
      </c>
      <c r="H358">
        <v>1.2339444999999999E-2</v>
      </c>
      <c r="I358">
        <v>1.8807527000000001E-2</v>
      </c>
      <c r="J358">
        <v>1</v>
      </c>
      <c r="K358">
        <v>0</v>
      </c>
      <c r="L358">
        <v>0</v>
      </c>
      <c r="M358">
        <v>5</v>
      </c>
      <c r="N358">
        <v>0.436631777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W358">
        <v>0</v>
      </c>
      <c r="X358">
        <v>0</v>
      </c>
      <c r="Y358">
        <v>0</v>
      </c>
      <c r="Z358">
        <v>1.8807527000000001E-2</v>
      </c>
      <c r="AA358">
        <v>0</v>
      </c>
      <c r="AB358" t="s">
        <v>33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f t="shared" si="5"/>
        <v>0</v>
      </c>
    </row>
    <row r="359" spans="1:34" x14ac:dyDescent="0.25">
      <c r="A359" s="1">
        <v>44014</v>
      </c>
      <c r="B359">
        <v>322</v>
      </c>
      <c r="C359">
        <v>1.4173228E-2</v>
      </c>
      <c r="D359">
        <v>574</v>
      </c>
      <c r="E359">
        <v>-5.1993070000000002E-3</v>
      </c>
      <c r="F359">
        <v>1.9372535E-2</v>
      </c>
      <c r="G359">
        <v>1.9372535E-2</v>
      </c>
      <c r="H359">
        <v>1.3046507000000001E-2</v>
      </c>
      <c r="I359">
        <v>1.8914015999999999E-2</v>
      </c>
      <c r="J359">
        <v>1</v>
      </c>
      <c r="K359">
        <v>1</v>
      </c>
      <c r="L359">
        <v>1</v>
      </c>
      <c r="M359">
        <v>5</v>
      </c>
      <c r="N359">
        <v>0.65393213299999997</v>
      </c>
      <c r="O359">
        <v>-4</v>
      </c>
      <c r="P359">
        <v>5</v>
      </c>
      <c r="Q359">
        <v>9</v>
      </c>
      <c r="R359">
        <v>1288</v>
      </c>
      <c r="S359">
        <v>-2870</v>
      </c>
      <c r="T359">
        <v>0</v>
      </c>
      <c r="U359">
        <v>0</v>
      </c>
      <c r="V359" t="s">
        <v>34</v>
      </c>
      <c r="W359">
        <v>1288</v>
      </c>
      <c r="X359">
        <v>-2870</v>
      </c>
      <c r="Y359">
        <v>0</v>
      </c>
      <c r="Z359">
        <v>1.8914015999999999E-2</v>
      </c>
      <c r="AA359">
        <v>4158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4158</v>
      </c>
      <c r="AH359">
        <f t="shared" si="5"/>
        <v>0</v>
      </c>
    </row>
    <row r="360" spans="1:34" x14ac:dyDescent="0.25">
      <c r="A360" s="1">
        <v>44015</v>
      </c>
      <c r="B360">
        <v>329.5</v>
      </c>
      <c r="C360">
        <v>2.3291925000000002E-2</v>
      </c>
      <c r="D360">
        <v>585</v>
      </c>
      <c r="E360">
        <v>1.9163763E-2</v>
      </c>
      <c r="F360">
        <v>4.1281620000000003E-3</v>
      </c>
      <c r="G360">
        <v>4.1281620000000003E-3</v>
      </c>
      <c r="H360">
        <v>1.5619050000000001E-2</v>
      </c>
      <c r="I360">
        <v>2.0440613E-2</v>
      </c>
      <c r="J360">
        <v>1</v>
      </c>
      <c r="K360">
        <v>1</v>
      </c>
      <c r="L360">
        <v>0</v>
      </c>
      <c r="M360">
        <v>5</v>
      </c>
      <c r="N360">
        <v>1.4607498430000001</v>
      </c>
      <c r="O360">
        <v>4</v>
      </c>
      <c r="P360">
        <v>-5</v>
      </c>
      <c r="Q360">
        <v>9</v>
      </c>
      <c r="R360">
        <v>-1318</v>
      </c>
      <c r="S360">
        <v>2925</v>
      </c>
      <c r="T360">
        <v>-30</v>
      </c>
      <c r="U360">
        <v>55</v>
      </c>
      <c r="V360" t="s">
        <v>37</v>
      </c>
      <c r="W360">
        <v>0</v>
      </c>
      <c r="X360">
        <v>0</v>
      </c>
      <c r="Y360">
        <v>0</v>
      </c>
      <c r="Z360">
        <v>2.0440613E-2</v>
      </c>
      <c r="AA360">
        <v>4243</v>
      </c>
      <c r="AB360">
        <v>0</v>
      </c>
      <c r="AC360">
        <v>25</v>
      </c>
      <c r="AD360">
        <v>5.8920580000000004E-3</v>
      </c>
      <c r="AE360">
        <v>0</v>
      </c>
      <c r="AF360">
        <v>0</v>
      </c>
      <c r="AG360">
        <v>0</v>
      </c>
      <c r="AH360">
        <f t="shared" si="5"/>
        <v>0</v>
      </c>
    </row>
    <row r="361" spans="1:34" x14ac:dyDescent="0.25">
      <c r="A361" s="1">
        <v>44018</v>
      </c>
      <c r="B361">
        <v>338</v>
      </c>
      <c r="C361">
        <v>2.5796662000000001E-2</v>
      </c>
      <c r="D361">
        <v>589</v>
      </c>
      <c r="E361">
        <v>6.8376069999999999E-3</v>
      </c>
      <c r="F361">
        <v>1.8959054999999999E-2</v>
      </c>
      <c r="G361">
        <v>1.8959054999999999E-2</v>
      </c>
      <c r="H361">
        <v>8.9258649999999998E-3</v>
      </c>
      <c r="I361">
        <v>1.3341891E-2</v>
      </c>
      <c r="J361">
        <v>1</v>
      </c>
      <c r="K361">
        <v>1</v>
      </c>
      <c r="L361">
        <v>0</v>
      </c>
      <c r="M361">
        <v>5</v>
      </c>
      <c r="N361">
        <v>0.46189069500000002</v>
      </c>
      <c r="O361">
        <v>4</v>
      </c>
      <c r="P361">
        <v>-5</v>
      </c>
      <c r="Q361">
        <v>9</v>
      </c>
      <c r="R361">
        <v>-1352</v>
      </c>
      <c r="S361">
        <v>2945</v>
      </c>
      <c r="T361">
        <v>-64</v>
      </c>
      <c r="U361">
        <v>75</v>
      </c>
      <c r="V361" t="s">
        <v>37</v>
      </c>
      <c r="W361">
        <v>0</v>
      </c>
      <c r="X361">
        <v>0</v>
      </c>
      <c r="Y361">
        <v>0</v>
      </c>
      <c r="Z361">
        <v>1.3341891E-2</v>
      </c>
      <c r="AA361">
        <v>4297</v>
      </c>
      <c r="AB361">
        <v>0</v>
      </c>
      <c r="AC361">
        <v>11</v>
      </c>
      <c r="AD361">
        <v>2.5599260000000001E-3</v>
      </c>
      <c r="AE361">
        <v>0</v>
      </c>
      <c r="AF361">
        <v>0</v>
      </c>
      <c r="AG361">
        <v>0</v>
      </c>
      <c r="AH361">
        <f t="shared" si="5"/>
        <v>0</v>
      </c>
    </row>
    <row r="362" spans="1:34" x14ac:dyDescent="0.25">
      <c r="A362" s="1">
        <v>44019</v>
      </c>
      <c r="B362">
        <v>338.5</v>
      </c>
      <c r="C362">
        <v>1.4792900000000001E-3</v>
      </c>
      <c r="D362">
        <v>618</v>
      </c>
      <c r="E362">
        <v>4.9235992999999999E-2</v>
      </c>
      <c r="F362">
        <v>-4.7756702999999998E-2</v>
      </c>
      <c r="G362">
        <v>4.7756702999999998E-2</v>
      </c>
      <c r="H362">
        <v>9.5631250000000004E-3</v>
      </c>
      <c r="I362">
        <v>2.2307337E-2</v>
      </c>
      <c r="J362">
        <v>0</v>
      </c>
      <c r="K362">
        <v>0</v>
      </c>
      <c r="L362">
        <v>-1</v>
      </c>
      <c r="M362">
        <v>5</v>
      </c>
      <c r="N362">
        <v>60.765797370000001</v>
      </c>
      <c r="O362">
        <v>4</v>
      </c>
      <c r="P362">
        <v>-5</v>
      </c>
      <c r="Q362">
        <v>9</v>
      </c>
      <c r="R362">
        <v>-1354</v>
      </c>
      <c r="S362">
        <v>3090</v>
      </c>
      <c r="T362">
        <v>-66</v>
      </c>
      <c r="U362">
        <v>220</v>
      </c>
      <c r="V362" t="s">
        <v>35</v>
      </c>
      <c r="W362">
        <v>-1354</v>
      </c>
      <c r="X362">
        <v>3090</v>
      </c>
      <c r="Y362">
        <v>154</v>
      </c>
      <c r="Z362">
        <v>2.2307337E-2</v>
      </c>
      <c r="AA362">
        <v>4444</v>
      </c>
      <c r="AB362">
        <v>0</v>
      </c>
      <c r="AC362">
        <v>154</v>
      </c>
      <c r="AD362">
        <v>3.4653465000000001E-2</v>
      </c>
      <c r="AE362">
        <v>0</v>
      </c>
      <c r="AF362">
        <v>154</v>
      </c>
      <c r="AG362">
        <v>0</v>
      </c>
      <c r="AH362">
        <f t="shared" si="5"/>
        <v>3.4653465346534656E-2</v>
      </c>
    </row>
    <row r="363" spans="1:34" x14ac:dyDescent="0.25">
      <c r="A363" s="1">
        <v>44020</v>
      </c>
      <c r="B363">
        <v>341</v>
      </c>
      <c r="C363">
        <v>7.3855240000000001E-3</v>
      </c>
      <c r="D363">
        <v>661</v>
      </c>
      <c r="E363">
        <v>6.9579288000000003E-2</v>
      </c>
      <c r="F363">
        <v>-6.2193763999999999E-2</v>
      </c>
      <c r="G363">
        <v>6.2193763999999999E-2</v>
      </c>
      <c r="H363">
        <v>1.0309535E-2</v>
      </c>
      <c r="I363">
        <v>3.0854072999999999E-2</v>
      </c>
      <c r="J363">
        <v>0</v>
      </c>
      <c r="K363">
        <v>1</v>
      </c>
      <c r="L363">
        <v>1</v>
      </c>
      <c r="M363">
        <v>5</v>
      </c>
      <c r="N363">
        <v>18.26189012</v>
      </c>
      <c r="O363">
        <v>92</v>
      </c>
      <c r="P363">
        <v>-5</v>
      </c>
      <c r="Q363">
        <v>97</v>
      </c>
      <c r="R363">
        <v>-31372</v>
      </c>
      <c r="S363">
        <v>3305</v>
      </c>
      <c r="T363">
        <v>0</v>
      </c>
      <c r="U363">
        <v>0</v>
      </c>
      <c r="V363" t="s">
        <v>34</v>
      </c>
      <c r="W363">
        <v>-31372</v>
      </c>
      <c r="X363">
        <v>3305</v>
      </c>
      <c r="Y363">
        <v>0</v>
      </c>
      <c r="Z363">
        <v>3.0854072999999999E-2</v>
      </c>
      <c r="AA363">
        <v>34677</v>
      </c>
      <c r="AB363">
        <v>0.01</v>
      </c>
      <c r="AC363">
        <v>0</v>
      </c>
      <c r="AD363">
        <v>0</v>
      </c>
      <c r="AE363">
        <v>0</v>
      </c>
      <c r="AF363">
        <v>0</v>
      </c>
      <c r="AG363">
        <v>34677</v>
      </c>
      <c r="AH363">
        <f t="shared" si="5"/>
        <v>0</v>
      </c>
    </row>
    <row r="364" spans="1:34" x14ac:dyDescent="0.25">
      <c r="A364" s="1">
        <v>44021</v>
      </c>
      <c r="B364">
        <v>345</v>
      </c>
      <c r="C364">
        <v>1.1730205E-2</v>
      </c>
      <c r="D364">
        <v>651</v>
      </c>
      <c r="E364">
        <v>-1.5128592999999999E-2</v>
      </c>
      <c r="F364">
        <v>2.6858798E-2</v>
      </c>
      <c r="G364">
        <v>2.6858798E-2</v>
      </c>
      <c r="H364">
        <v>1.0382106E-2</v>
      </c>
      <c r="I364">
        <v>3.3706597999999997E-2</v>
      </c>
      <c r="J364">
        <v>1</v>
      </c>
      <c r="K364">
        <v>0</v>
      </c>
      <c r="L364">
        <v>-1</v>
      </c>
      <c r="M364">
        <v>5</v>
      </c>
      <c r="N364">
        <v>2.43363152</v>
      </c>
      <c r="O364">
        <v>-92</v>
      </c>
      <c r="P364">
        <v>5</v>
      </c>
      <c r="Q364">
        <v>97</v>
      </c>
      <c r="R364">
        <v>31740</v>
      </c>
      <c r="S364">
        <v>-3255</v>
      </c>
      <c r="T364">
        <v>368</v>
      </c>
      <c r="U364">
        <v>50</v>
      </c>
      <c r="V364" t="s">
        <v>35</v>
      </c>
      <c r="W364">
        <v>31740</v>
      </c>
      <c r="X364">
        <v>-3255</v>
      </c>
      <c r="Y364">
        <v>418</v>
      </c>
      <c r="Z364">
        <v>3.3706597999999997E-2</v>
      </c>
      <c r="AA364">
        <v>34995</v>
      </c>
      <c r="AB364">
        <v>0.01</v>
      </c>
      <c r="AC364">
        <v>418</v>
      </c>
      <c r="AD364">
        <v>1.1944564E-2</v>
      </c>
      <c r="AE364">
        <v>0</v>
      </c>
      <c r="AF364">
        <v>418</v>
      </c>
      <c r="AG364">
        <v>0</v>
      </c>
      <c r="AH364">
        <f t="shared" si="5"/>
        <v>1.1944563509072725E-2</v>
      </c>
    </row>
    <row r="365" spans="1:34" x14ac:dyDescent="0.25">
      <c r="A365" s="1">
        <v>44022</v>
      </c>
      <c r="B365">
        <v>348.5</v>
      </c>
      <c r="C365">
        <v>1.0144927999999999E-2</v>
      </c>
      <c r="D365">
        <v>616</v>
      </c>
      <c r="E365">
        <v>-5.3763441000000002E-2</v>
      </c>
      <c r="F365">
        <v>6.3908367999999993E-2</v>
      </c>
      <c r="G365">
        <v>6.3908367999999993E-2</v>
      </c>
      <c r="H365">
        <v>8.9922419999999992E-3</v>
      </c>
      <c r="I365">
        <v>4.9465230999999998E-2</v>
      </c>
      <c r="J365">
        <v>1</v>
      </c>
      <c r="K365">
        <v>1</v>
      </c>
      <c r="L365">
        <v>1</v>
      </c>
      <c r="M365">
        <v>5</v>
      </c>
      <c r="N365">
        <v>9.3673346599999991</v>
      </c>
      <c r="O365">
        <v>-47</v>
      </c>
      <c r="P365">
        <v>5</v>
      </c>
      <c r="Q365">
        <v>52</v>
      </c>
      <c r="R365">
        <v>16379.5</v>
      </c>
      <c r="S365">
        <v>-3080</v>
      </c>
      <c r="T365">
        <v>0</v>
      </c>
      <c r="U365">
        <v>0</v>
      </c>
      <c r="V365" t="s">
        <v>34</v>
      </c>
      <c r="W365">
        <v>16379.5</v>
      </c>
      <c r="X365">
        <v>-3080</v>
      </c>
      <c r="Y365">
        <v>0</v>
      </c>
      <c r="Z365">
        <v>4.9465230999999998E-2</v>
      </c>
      <c r="AA365">
        <v>19459.5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19459.5</v>
      </c>
      <c r="AH365">
        <f t="shared" si="5"/>
        <v>0</v>
      </c>
    </row>
    <row r="366" spans="1:34" x14ac:dyDescent="0.25">
      <c r="A366" s="1">
        <v>44025</v>
      </c>
      <c r="B366">
        <v>354.5</v>
      </c>
      <c r="C366">
        <v>1.7216643E-2</v>
      </c>
      <c r="D366">
        <v>629</v>
      </c>
      <c r="E366">
        <v>2.1103896E-2</v>
      </c>
      <c r="F366">
        <v>-3.8872529999999998E-3</v>
      </c>
      <c r="G366">
        <v>3.8872529999999998E-3</v>
      </c>
      <c r="H366">
        <v>5.78138E-3</v>
      </c>
      <c r="I366">
        <v>4.9551099000000001E-2</v>
      </c>
      <c r="J366">
        <v>0</v>
      </c>
      <c r="K366">
        <v>0</v>
      </c>
      <c r="L366">
        <v>-1</v>
      </c>
      <c r="M366">
        <v>5</v>
      </c>
      <c r="N366">
        <v>2.1749464980000002</v>
      </c>
      <c r="O366">
        <v>47</v>
      </c>
      <c r="P366">
        <v>-5</v>
      </c>
      <c r="Q366">
        <v>52</v>
      </c>
      <c r="R366">
        <v>-16661.5</v>
      </c>
      <c r="S366">
        <v>3145</v>
      </c>
      <c r="T366">
        <v>-282</v>
      </c>
      <c r="U366">
        <v>65</v>
      </c>
      <c r="V366" t="s">
        <v>35</v>
      </c>
      <c r="W366">
        <v>-16661.5</v>
      </c>
      <c r="X366">
        <v>3145</v>
      </c>
      <c r="Y366">
        <v>-217</v>
      </c>
      <c r="Z366">
        <v>4.9551099000000001E-2</v>
      </c>
      <c r="AA366">
        <v>19806.5</v>
      </c>
      <c r="AB366">
        <v>0</v>
      </c>
      <c r="AC366">
        <v>-217</v>
      </c>
      <c r="AD366">
        <v>-1.0955998999999999E-2</v>
      </c>
      <c r="AE366">
        <v>0</v>
      </c>
      <c r="AF366">
        <v>-217</v>
      </c>
      <c r="AG366">
        <v>0</v>
      </c>
      <c r="AH366">
        <f t="shared" si="5"/>
        <v>-1.0955999293161336E-2</v>
      </c>
    </row>
    <row r="367" spans="1:34" x14ac:dyDescent="0.25">
      <c r="A367" s="1">
        <v>44026</v>
      </c>
      <c r="B367">
        <v>363.5</v>
      </c>
      <c r="C367">
        <v>2.538787E-2</v>
      </c>
      <c r="D367">
        <v>611</v>
      </c>
      <c r="E367">
        <v>-2.8616852000000002E-2</v>
      </c>
      <c r="F367">
        <v>5.4004721999999998E-2</v>
      </c>
      <c r="G367">
        <v>5.4004721999999998E-2</v>
      </c>
      <c r="H367">
        <v>7.1256480000000001E-3</v>
      </c>
      <c r="I367">
        <v>4.7999062000000002E-2</v>
      </c>
      <c r="J367">
        <v>1</v>
      </c>
      <c r="K367">
        <v>1</v>
      </c>
      <c r="L367">
        <v>1</v>
      </c>
      <c r="M367">
        <v>5</v>
      </c>
      <c r="N367">
        <v>1.8946647919999999</v>
      </c>
      <c r="O367">
        <v>-10</v>
      </c>
      <c r="P367">
        <v>5</v>
      </c>
      <c r="Q367">
        <v>15</v>
      </c>
      <c r="R367">
        <v>3635</v>
      </c>
      <c r="S367">
        <v>-3055</v>
      </c>
      <c r="T367">
        <v>0</v>
      </c>
      <c r="U367">
        <v>0</v>
      </c>
      <c r="V367" t="s">
        <v>34</v>
      </c>
      <c r="W367">
        <v>3635</v>
      </c>
      <c r="X367">
        <v>-3055</v>
      </c>
      <c r="Y367">
        <v>0</v>
      </c>
      <c r="Z367">
        <v>4.7999062000000002E-2</v>
      </c>
      <c r="AA367">
        <v>6690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6690</v>
      </c>
      <c r="AH367">
        <f t="shared" si="5"/>
        <v>0</v>
      </c>
    </row>
    <row r="368" spans="1:34" x14ac:dyDescent="0.25">
      <c r="A368" s="1">
        <v>44027</v>
      </c>
      <c r="B368">
        <v>363</v>
      </c>
      <c r="C368">
        <v>-1.375516E-3</v>
      </c>
      <c r="D368">
        <v>609</v>
      </c>
      <c r="E368">
        <v>-3.273322E-3</v>
      </c>
      <c r="F368">
        <v>1.8978070000000001E-3</v>
      </c>
      <c r="G368">
        <v>1.8978070000000001E-3</v>
      </c>
      <c r="H368">
        <v>9.8353929999999996E-3</v>
      </c>
      <c r="I368">
        <v>2.7949366999999999E-2</v>
      </c>
      <c r="J368">
        <v>1</v>
      </c>
      <c r="K368">
        <v>1</v>
      </c>
      <c r="L368">
        <v>0</v>
      </c>
      <c r="M368">
        <v>5</v>
      </c>
      <c r="N368">
        <v>3.9923983170000001</v>
      </c>
      <c r="O368">
        <v>10</v>
      </c>
      <c r="P368">
        <v>-5</v>
      </c>
      <c r="Q368">
        <v>15</v>
      </c>
      <c r="R368">
        <v>-3630</v>
      </c>
      <c r="S368">
        <v>3045</v>
      </c>
      <c r="T368">
        <v>5</v>
      </c>
      <c r="U368">
        <v>-10</v>
      </c>
      <c r="V368" t="s">
        <v>37</v>
      </c>
      <c r="W368">
        <v>0</v>
      </c>
      <c r="X368">
        <v>0</v>
      </c>
      <c r="Y368">
        <v>0</v>
      </c>
      <c r="Z368">
        <v>2.7949366999999999E-2</v>
      </c>
      <c r="AA368">
        <v>6675</v>
      </c>
      <c r="AB368">
        <v>0</v>
      </c>
      <c r="AC368">
        <v>-5</v>
      </c>
      <c r="AD368">
        <v>-7.4906400000000002E-4</v>
      </c>
      <c r="AE368">
        <v>0</v>
      </c>
      <c r="AF368">
        <v>0</v>
      </c>
      <c r="AG368">
        <v>0</v>
      </c>
      <c r="AH368">
        <f t="shared" si="5"/>
        <v>0</v>
      </c>
    </row>
    <row r="369" spans="1:34" x14ac:dyDescent="0.25">
      <c r="A369" s="1">
        <v>44028</v>
      </c>
      <c r="B369">
        <v>357.5</v>
      </c>
      <c r="C369">
        <v>-1.5151515000000001E-2</v>
      </c>
      <c r="D369">
        <v>599</v>
      </c>
      <c r="E369">
        <v>-1.6420361000000001E-2</v>
      </c>
      <c r="F369">
        <v>1.2688459999999999E-3</v>
      </c>
      <c r="G369">
        <v>1.2688459999999999E-3</v>
      </c>
      <c r="H369">
        <v>1.5913235000000001E-2</v>
      </c>
      <c r="I369">
        <v>2.7946011999999999E-2</v>
      </c>
      <c r="J369">
        <v>1</v>
      </c>
      <c r="K369">
        <v>1</v>
      </c>
      <c r="L369">
        <v>0</v>
      </c>
      <c r="M369">
        <v>5</v>
      </c>
      <c r="N369">
        <v>1.815839333</v>
      </c>
      <c r="O369">
        <v>10</v>
      </c>
      <c r="P369">
        <v>-5</v>
      </c>
      <c r="Q369">
        <v>15</v>
      </c>
      <c r="R369">
        <v>-3575</v>
      </c>
      <c r="S369">
        <v>2995</v>
      </c>
      <c r="T369">
        <v>60</v>
      </c>
      <c r="U369">
        <v>-60</v>
      </c>
      <c r="V369" t="s">
        <v>37</v>
      </c>
      <c r="W369">
        <v>0</v>
      </c>
      <c r="X369">
        <v>0</v>
      </c>
      <c r="Y369">
        <v>0</v>
      </c>
      <c r="Z369">
        <v>2.7946011999999999E-2</v>
      </c>
      <c r="AA369">
        <v>6570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f t="shared" si="5"/>
        <v>0</v>
      </c>
    </row>
    <row r="370" spans="1:34" x14ac:dyDescent="0.25">
      <c r="A370" s="1">
        <v>44029</v>
      </c>
      <c r="B370">
        <v>367</v>
      </c>
      <c r="C370">
        <v>2.6573427E-2</v>
      </c>
      <c r="D370">
        <v>607</v>
      </c>
      <c r="E370">
        <v>1.3355593000000001E-2</v>
      </c>
      <c r="F370">
        <v>1.3217833999999999E-2</v>
      </c>
      <c r="G370">
        <v>1.3217833999999999E-2</v>
      </c>
      <c r="H370">
        <v>1.8194371000000001E-2</v>
      </c>
      <c r="I370">
        <v>2.0522202E-2</v>
      </c>
      <c r="J370">
        <v>1</v>
      </c>
      <c r="K370">
        <v>1</v>
      </c>
      <c r="L370">
        <v>0</v>
      </c>
      <c r="M370">
        <v>5</v>
      </c>
      <c r="N370">
        <v>0.831262583</v>
      </c>
      <c r="O370">
        <v>10</v>
      </c>
      <c r="P370">
        <v>-5</v>
      </c>
      <c r="Q370">
        <v>15</v>
      </c>
      <c r="R370">
        <v>-3670</v>
      </c>
      <c r="S370">
        <v>3035</v>
      </c>
      <c r="T370">
        <v>-35</v>
      </c>
      <c r="U370">
        <v>-20</v>
      </c>
      <c r="V370" t="s">
        <v>37</v>
      </c>
      <c r="W370">
        <v>0</v>
      </c>
      <c r="X370">
        <v>0</v>
      </c>
      <c r="Y370">
        <v>0</v>
      </c>
      <c r="Z370">
        <v>2.0522202E-2</v>
      </c>
      <c r="AA370">
        <v>6705</v>
      </c>
      <c r="AB370">
        <v>0</v>
      </c>
      <c r="AC370">
        <v>-55</v>
      </c>
      <c r="AD370">
        <v>-8.2028340000000009E-3</v>
      </c>
      <c r="AE370">
        <v>0</v>
      </c>
      <c r="AF370">
        <v>0</v>
      </c>
      <c r="AG370">
        <v>0</v>
      </c>
      <c r="AH370">
        <f t="shared" si="5"/>
        <v>0</v>
      </c>
    </row>
    <row r="371" spans="1:34" x14ac:dyDescent="0.25">
      <c r="A371" s="1">
        <v>44032</v>
      </c>
      <c r="B371">
        <v>366</v>
      </c>
      <c r="C371">
        <v>-2.7247959999999998E-3</v>
      </c>
      <c r="D371">
        <v>601</v>
      </c>
      <c r="E371">
        <v>-9.8846790000000004E-3</v>
      </c>
      <c r="F371">
        <v>7.1598829999999997E-3</v>
      </c>
      <c r="G371">
        <v>7.1598829999999997E-3</v>
      </c>
      <c r="H371">
        <v>1.8544501000000001E-2</v>
      </c>
      <c r="I371">
        <v>1.5598297000000001E-2</v>
      </c>
      <c r="J371">
        <v>1</v>
      </c>
      <c r="K371">
        <v>1</v>
      </c>
      <c r="L371">
        <v>0</v>
      </c>
      <c r="M371">
        <v>5</v>
      </c>
      <c r="N371">
        <v>5.9569233260000001</v>
      </c>
      <c r="O371">
        <v>10</v>
      </c>
      <c r="P371">
        <v>-5</v>
      </c>
      <c r="Q371">
        <v>15</v>
      </c>
      <c r="R371">
        <v>-3660</v>
      </c>
      <c r="S371">
        <v>3005</v>
      </c>
      <c r="T371">
        <v>-25</v>
      </c>
      <c r="U371">
        <v>-50</v>
      </c>
      <c r="V371" t="s">
        <v>37</v>
      </c>
      <c r="W371">
        <v>0</v>
      </c>
      <c r="X371">
        <v>0</v>
      </c>
      <c r="Y371">
        <v>0</v>
      </c>
      <c r="Z371">
        <v>1.8544501000000001E-2</v>
      </c>
      <c r="AA371">
        <v>6665</v>
      </c>
      <c r="AB371">
        <v>0</v>
      </c>
      <c r="AC371">
        <v>-75</v>
      </c>
      <c r="AD371">
        <v>-1.1252813E-2</v>
      </c>
      <c r="AE371">
        <v>0</v>
      </c>
      <c r="AF371">
        <v>0</v>
      </c>
      <c r="AG371">
        <v>0</v>
      </c>
      <c r="AH371">
        <f t="shared" si="5"/>
        <v>0</v>
      </c>
    </row>
    <row r="372" spans="1:34" x14ac:dyDescent="0.25">
      <c r="A372" s="1">
        <v>44033</v>
      </c>
      <c r="B372">
        <v>383</v>
      </c>
      <c r="C372">
        <v>4.6448086999999999E-2</v>
      </c>
      <c r="D372">
        <v>637</v>
      </c>
      <c r="E372">
        <v>5.9900165999999998E-2</v>
      </c>
      <c r="F372">
        <v>-1.3452079E-2</v>
      </c>
      <c r="G372">
        <v>1.3452079E-2</v>
      </c>
      <c r="H372">
        <v>2.5120812999999999E-2</v>
      </c>
      <c r="I372">
        <v>3.0671276000000001E-2</v>
      </c>
      <c r="J372">
        <v>0</v>
      </c>
      <c r="K372">
        <v>0</v>
      </c>
      <c r="L372">
        <v>-1</v>
      </c>
      <c r="M372">
        <v>5</v>
      </c>
      <c r="N372">
        <v>2.1448693890000001</v>
      </c>
      <c r="O372">
        <v>10</v>
      </c>
      <c r="P372">
        <v>-5</v>
      </c>
      <c r="Q372">
        <v>15</v>
      </c>
      <c r="R372">
        <v>-3830</v>
      </c>
      <c r="S372">
        <v>3185</v>
      </c>
      <c r="T372">
        <v>-195</v>
      </c>
      <c r="U372">
        <v>130</v>
      </c>
      <c r="V372" t="s">
        <v>35</v>
      </c>
      <c r="W372">
        <v>-3830</v>
      </c>
      <c r="X372">
        <v>3185</v>
      </c>
      <c r="Y372">
        <v>-65</v>
      </c>
      <c r="Z372">
        <v>3.0671276000000001E-2</v>
      </c>
      <c r="AA372">
        <v>7015</v>
      </c>
      <c r="AB372">
        <v>0</v>
      </c>
      <c r="AC372">
        <v>-65</v>
      </c>
      <c r="AD372">
        <v>-9.2658589999999996E-3</v>
      </c>
      <c r="AE372">
        <v>0</v>
      </c>
      <c r="AF372">
        <v>-65</v>
      </c>
      <c r="AG372">
        <v>0</v>
      </c>
      <c r="AH372">
        <f t="shared" si="5"/>
        <v>-9.2658588738417681E-3</v>
      </c>
    </row>
    <row r="373" spans="1:34" x14ac:dyDescent="0.25">
      <c r="A373" s="1">
        <v>44034</v>
      </c>
      <c r="B373">
        <v>384</v>
      </c>
      <c r="C373">
        <v>2.6109660000000002E-3</v>
      </c>
      <c r="D373">
        <v>664</v>
      </c>
      <c r="E373">
        <v>4.2386185E-2</v>
      </c>
      <c r="F373">
        <v>-3.9775219000000001E-2</v>
      </c>
      <c r="G373">
        <v>3.9775219000000001E-2</v>
      </c>
      <c r="H373">
        <v>2.4699326000000001E-2</v>
      </c>
      <c r="I373">
        <v>3.2916976000000001E-2</v>
      </c>
      <c r="J373">
        <v>0</v>
      </c>
      <c r="K373">
        <v>1</v>
      </c>
      <c r="L373">
        <v>1</v>
      </c>
      <c r="M373">
        <v>5</v>
      </c>
      <c r="N373">
        <v>28.071134220000001</v>
      </c>
      <c r="O373">
        <v>141</v>
      </c>
      <c r="P373">
        <v>-5</v>
      </c>
      <c r="Q373">
        <v>146</v>
      </c>
      <c r="R373">
        <v>-54144</v>
      </c>
      <c r="S373">
        <v>3320</v>
      </c>
      <c r="T373">
        <v>0</v>
      </c>
      <c r="U373">
        <v>0</v>
      </c>
      <c r="V373" t="s">
        <v>34</v>
      </c>
      <c r="W373">
        <v>-54144</v>
      </c>
      <c r="X373">
        <v>3320</v>
      </c>
      <c r="Y373">
        <v>0</v>
      </c>
      <c r="Z373">
        <v>3.2916976000000001E-2</v>
      </c>
      <c r="AA373">
        <v>57464</v>
      </c>
      <c r="AB373">
        <v>0.01</v>
      </c>
      <c r="AC373">
        <v>0</v>
      </c>
      <c r="AD373">
        <v>0</v>
      </c>
      <c r="AE373">
        <v>0</v>
      </c>
      <c r="AF373">
        <v>0</v>
      </c>
      <c r="AG373">
        <v>57464</v>
      </c>
      <c r="AH373">
        <f t="shared" si="5"/>
        <v>0</v>
      </c>
    </row>
    <row r="374" spans="1:34" x14ac:dyDescent="0.25">
      <c r="A374" s="1">
        <v>44035</v>
      </c>
      <c r="B374">
        <v>381.5</v>
      </c>
      <c r="C374">
        <v>-6.5104170000000001E-3</v>
      </c>
      <c r="D374">
        <v>677</v>
      </c>
      <c r="E374">
        <v>1.9578313E-2</v>
      </c>
      <c r="F374">
        <v>-2.6088730000000001E-2</v>
      </c>
      <c r="G374">
        <v>2.6088730000000001E-2</v>
      </c>
      <c r="H374">
        <v>2.2574762000000002E-2</v>
      </c>
      <c r="I374">
        <v>2.6936063999999999E-2</v>
      </c>
      <c r="J374">
        <v>0</v>
      </c>
      <c r="K374">
        <v>1</v>
      </c>
      <c r="L374">
        <v>0</v>
      </c>
      <c r="M374">
        <v>5</v>
      </c>
      <c r="N374">
        <v>5.3365503959999998</v>
      </c>
      <c r="O374">
        <v>-141</v>
      </c>
      <c r="P374">
        <v>5</v>
      </c>
      <c r="Q374">
        <v>146</v>
      </c>
      <c r="R374">
        <v>53791.5</v>
      </c>
      <c r="S374">
        <v>-3385</v>
      </c>
      <c r="T374">
        <v>-352.5</v>
      </c>
      <c r="U374">
        <v>-65</v>
      </c>
      <c r="V374" t="s">
        <v>37</v>
      </c>
      <c r="W374">
        <v>0</v>
      </c>
      <c r="X374">
        <v>0</v>
      </c>
      <c r="Y374">
        <v>0</v>
      </c>
      <c r="Z374">
        <v>2.6936063999999999E-2</v>
      </c>
      <c r="AA374">
        <v>57176.5</v>
      </c>
      <c r="AB374">
        <v>0.01</v>
      </c>
      <c r="AC374">
        <v>-417.5</v>
      </c>
      <c r="AD374">
        <v>-7.3019510000000001E-3</v>
      </c>
      <c r="AE374">
        <v>0</v>
      </c>
      <c r="AF374">
        <v>0</v>
      </c>
      <c r="AG374">
        <v>0</v>
      </c>
      <c r="AH374">
        <f t="shared" si="5"/>
        <v>0</v>
      </c>
    </row>
    <row r="375" spans="1:34" x14ac:dyDescent="0.25">
      <c r="A375" s="1">
        <v>44036</v>
      </c>
      <c r="B375">
        <v>386</v>
      </c>
      <c r="C375">
        <v>1.1795544E-2</v>
      </c>
      <c r="D375">
        <v>675</v>
      </c>
      <c r="E375">
        <v>-2.9542100000000001E-3</v>
      </c>
      <c r="F375">
        <v>1.4749754E-2</v>
      </c>
      <c r="G375">
        <v>1.4749754E-2</v>
      </c>
      <c r="H375">
        <v>2.1332338999999999E-2</v>
      </c>
      <c r="I375">
        <v>2.9567884999999999E-2</v>
      </c>
      <c r="J375">
        <v>1</v>
      </c>
      <c r="K375">
        <v>0</v>
      </c>
      <c r="L375">
        <v>-1</v>
      </c>
      <c r="M375">
        <v>5</v>
      </c>
      <c r="N375">
        <v>0.43796542199999999</v>
      </c>
      <c r="O375">
        <v>-141</v>
      </c>
      <c r="P375">
        <v>5</v>
      </c>
      <c r="Q375">
        <v>146</v>
      </c>
      <c r="R375">
        <v>54426</v>
      </c>
      <c r="S375">
        <v>-3375</v>
      </c>
      <c r="T375">
        <v>282</v>
      </c>
      <c r="U375">
        <v>-55</v>
      </c>
      <c r="V375" t="s">
        <v>35</v>
      </c>
      <c r="W375">
        <v>54426</v>
      </c>
      <c r="X375">
        <v>-3375</v>
      </c>
      <c r="Y375">
        <v>227</v>
      </c>
      <c r="Z375">
        <v>2.9567884999999999E-2</v>
      </c>
      <c r="AA375">
        <v>57801</v>
      </c>
      <c r="AB375">
        <v>0.01</v>
      </c>
      <c r="AC375">
        <v>227</v>
      </c>
      <c r="AD375">
        <v>3.9272680000000003E-3</v>
      </c>
      <c r="AE375">
        <v>0</v>
      </c>
      <c r="AF375">
        <v>227</v>
      </c>
      <c r="AG375">
        <v>0</v>
      </c>
      <c r="AH375">
        <f t="shared" si="5"/>
        <v>3.9272676943305478E-3</v>
      </c>
    </row>
    <row r="376" spans="1:34" x14ac:dyDescent="0.25">
      <c r="A376" s="1">
        <v>44039</v>
      </c>
      <c r="B376">
        <v>424.5</v>
      </c>
      <c r="C376">
        <v>9.9740933000000004E-2</v>
      </c>
      <c r="D376">
        <v>728</v>
      </c>
      <c r="E376">
        <v>7.8518518999999995E-2</v>
      </c>
      <c r="F376">
        <v>2.1222413999999998E-2</v>
      </c>
      <c r="G376">
        <v>2.1222413999999998E-2</v>
      </c>
      <c r="H376">
        <v>4.3432625000000002E-2</v>
      </c>
      <c r="I376">
        <v>3.2195396000000001E-2</v>
      </c>
      <c r="J376">
        <v>1</v>
      </c>
      <c r="K376">
        <v>0</v>
      </c>
      <c r="L376">
        <v>0</v>
      </c>
      <c r="M376">
        <v>5</v>
      </c>
      <c r="N376">
        <v>1.3500577819999999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W376">
        <v>0</v>
      </c>
      <c r="X376">
        <v>0</v>
      </c>
      <c r="Y376">
        <v>0</v>
      </c>
      <c r="Z376">
        <v>4.3432625000000002E-2</v>
      </c>
      <c r="AA376">
        <v>0</v>
      </c>
      <c r="AB376" t="s">
        <v>33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f t="shared" si="5"/>
        <v>0</v>
      </c>
    </row>
    <row r="377" spans="1:34" x14ac:dyDescent="0.25">
      <c r="A377" s="1">
        <v>44040</v>
      </c>
      <c r="B377">
        <v>435</v>
      </c>
      <c r="C377">
        <v>2.4734981999999999E-2</v>
      </c>
      <c r="D377">
        <v>680</v>
      </c>
      <c r="E377">
        <v>-6.5934066E-2</v>
      </c>
      <c r="F377">
        <v>9.0669048000000002E-2</v>
      </c>
      <c r="G377">
        <v>9.0669048000000002E-2</v>
      </c>
      <c r="H377">
        <v>4.2555672000000003E-2</v>
      </c>
      <c r="I377">
        <v>5.4027593999999998E-2</v>
      </c>
      <c r="J377">
        <v>1</v>
      </c>
      <c r="K377">
        <v>1</v>
      </c>
      <c r="L377">
        <v>1</v>
      </c>
      <c r="M377">
        <v>5</v>
      </c>
      <c r="N377">
        <v>4.1669463540000002</v>
      </c>
      <c r="O377">
        <v>-21</v>
      </c>
      <c r="P377">
        <v>5</v>
      </c>
      <c r="Q377">
        <v>26</v>
      </c>
      <c r="R377">
        <v>9135</v>
      </c>
      <c r="S377">
        <v>-3400</v>
      </c>
      <c r="T377">
        <v>0</v>
      </c>
      <c r="U377">
        <v>0</v>
      </c>
      <c r="V377" t="s">
        <v>34</v>
      </c>
      <c r="W377">
        <v>9135</v>
      </c>
      <c r="X377">
        <v>-3400</v>
      </c>
      <c r="Y377">
        <v>0</v>
      </c>
      <c r="Z377">
        <v>5.4027593999999998E-2</v>
      </c>
      <c r="AA377">
        <v>12535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12535</v>
      </c>
      <c r="AH377">
        <f t="shared" si="5"/>
        <v>0</v>
      </c>
    </row>
    <row r="378" spans="1:34" x14ac:dyDescent="0.25">
      <c r="A378" s="1">
        <v>44041</v>
      </c>
      <c r="B378">
        <v>422</v>
      </c>
      <c r="C378">
        <v>-2.9885057E-2</v>
      </c>
      <c r="D378">
        <v>682</v>
      </c>
      <c r="E378">
        <v>2.9411760000000002E-3</v>
      </c>
      <c r="F378">
        <v>-3.2826234000000003E-2</v>
      </c>
      <c r="G378">
        <v>3.2826234000000003E-2</v>
      </c>
      <c r="H378">
        <v>4.9090903999999998E-2</v>
      </c>
      <c r="I378">
        <v>5.1735929999999999E-2</v>
      </c>
      <c r="J378">
        <v>0</v>
      </c>
      <c r="K378">
        <v>0</v>
      </c>
      <c r="L378">
        <v>-1</v>
      </c>
      <c r="M378">
        <v>5</v>
      </c>
      <c r="N378">
        <v>0.15905191799999999</v>
      </c>
      <c r="O378">
        <v>21</v>
      </c>
      <c r="P378">
        <v>-5</v>
      </c>
      <c r="Q378">
        <v>26</v>
      </c>
      <c r="R378">
        <v>-8862</v>
      </c>
      <c r="S378">
        <v>3410</v>
      </c>
      <c r="T378">
        <v>273</v>
      </c>
      <c r="U378">
        <v>10</v>
      </c>
      <c r="V378" t="s">
        <v>35</v>
      </c>
      <c r="W378">
        <v>-8862</v>
      </c>
      <c r="X378">
        <v>3410</v>
      </c>
      <c r="Y378">
        <v>283</v>
      </c>
      <c r="Z378">
        <v>5.1735929999999999E-2</v>
      </c>
      <c r="AA378">
        <v>12272</v>
      </c>
      <c r="AB378">
        <v>0</v>
      </c>
      <c r="AC378">
        <v>283</v>
      </c>
      <c r="AD378">
        <v>2.3060626000000001E-2</v>
      </c>
      <c r="AE378">
        <v>0</v>
      </c>
      <c r="AF378">
        <v>283</v>
      </c>
      <c r="AG378">
        <v>0</v>
      </c>
      <c r="AH378">
        <f t="shared" si="5"/>
        <v>2.3060625814863102E-2</v>
      </c>
    </row>
    <row r="379" spans="1:34" x14ac:dyDescent="0.25">
      <c r="A379" s="1">
        <v>44042</v>
      </c>
      <c r="B379">
        <v>434</v>
      </c>
      <c r="C379">
        <v>2.8436019E-2</v>
      </c>
      <c r="D379">
        <v>683</v>
      </c>
      <c r="E379">
        <v>1.4662760000000001E-3</v>
      </c>
      <c r="F379">
        <v>2.6969743000000001E-2</v>
      </c>
      <c r="G379">
        <v>2.6969743000000001E-2</v>
      </c>
      <c r="H379">
        <v>4.6812164000000003E-2</v>
      </c>
      <c r="I379">
        <v>5.1216636000000003E-2</v>
      </c>
      <c r="J379">
        <v>1</v>
      </c>
      <c r="K379">
        <v>0</v>
      </c>
      <c r="L379">
        <v>0</v>
      </c>
      <c r="M379">
        <v>5</v>
      </c>
      <c r="N379">
        <v>8.1147996999999999E-2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W379">
        <v>0</v>
      </c>
      <c r="X379">
        <v>0</v>
      </c>
      <c r="Y379">
        <v>0</v>
      </c>
      <c r="Z379">
        <v>5.1216636000000003E-2</v>
      </c>
      <c r="AA379">
        <v>0</v>
      </c>
      <c r="AB379" t="s">
        <v>33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f t="shared" si="5"/>
        <v>0</v>
      </c>
    </row>
    <row r="380" spans="1:34" x14ac:dyDescent="0.25">
      <c r="A380" s="1">
        <v>44043</v>
      </c>
      <c r="B380">
        <v>425.5</v>
      </c>
      <c r="C380">
        <v>-1.9585253E-2</v>
      </c>
      <c r="D380">
        <v>701</v>
      </c>
      <c r="E380">
        <v>2.6354319000000001E-2</v>
      </c>
      <c r="F380">
        <v>-4.5939572999999997E-2</v>
      </c>
      <c r="G380">
        <v>4.5939572999999997E-2</v>
      </c>
      <c r="H380">
        <v>5.1247793E-2</v>
      </c>
      <c r="I380">
        <v>5.2062535E-2</v>
      </c>
      <c r="J380">
        <v>0</v>
      </c>
      <c r="K380">
        <v>0</v>
      </c>
      <c r="L380">
        <v>0</v>
      </c>
      <c r="M380">
        <v>5</v>
      </c>
      <c r="N380">
        <v>2.216874249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W380">
        <v>0</v>
      </c>
      <c r="X380">
        <v>0</v>
      </c>
      <c r="Y380">
        <v>0</v>
      </c>
      <c r="Z380">
        <v>5.2062535E-2</v>
      </c>
      <c r="AA380">
        <v>0</v>
      </c>
      <c r="AB380" t="s">
        <v>33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f t="shared" si="5"/>
        <v>0</v>
      </c>
    </row>
    <row r="381" spans="1:34" x14ac:dyDescent="0.25">
      <c r="A381" s="1">
        <v>44046</v>
      </c>
      <c r="B381">
        <v>416</v>
      </c>
      <c r="C381">
        <v>-2.2326675000000001E-2</v>
      </c>
      <c r="D381">
        <v>696</v>
      </c>
      <c r="E381">
        <v>-7.132668E-3</v>
      </c>
      <c r="F381">
        <v>-1.5194007000000001E-2</v>
      </c>
      <c r="G381">
        <v>1.5194007000000001E-2</v>
      </c>
      <c r="H381">
        <v>2.7956306E-2</v>
      </c>
      <c r="I381">
        <v>3.4444101999999997E-2</v>
      </c>
      <c r="J381">
        <v>0</v>
      </c>
      <c r="K381">
        <v>0</v>
      </c>
      <c r="L381">
        <v>0</v>
      </c>
      <c r="M381">
        <v>5</v>
      </c>
      <c r="N381">
        <v>0.53449525499999995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W381">
        <v>0</v>
      </c>
      <c r="X381">
        <v>0</v>
      </c>
      <c r="Y381">
        <v>0</v>
      </c>
      <c r="Z381">
        <v>3.4444101999999997E-2</v>
      </c>
      <c r="AA381">
        <v>0</v>
      </c>
      <c r="AB381" t="s">
        <v>33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f t="shared" si="5"/>
        <v>0</v>
      </c>
    </row>
    <row r="382" spans="1:34" x14ac:dyDescent="0.25">
      <c r="A382" s="1">
        <v>44047</v>
      </c>
      <c r="B382">
        <v>425.5</v>
      </c>
      <c r="C382">
        <v>2.2836538E-2</v>
      </c>
      <c r="D382">
        <v>732</v>
      </c>
      <c r="E382">
        <v>5.1724138000000003E-2</v>
      </c>
      <c r="F382">
        <v>-2.8887599E-2</v>
      </c>
      <c r="G382">
        <v>2.8887599E-2</v>
      </c>
      <c r="H382">
        <v>2.7482010000000001E-2</v>
      </c>
      <c r="I382">
        <v>2.3958244E-2</v>
      </c>
      <c r="J382">
        <v>0</v>
      </c>
      <c r="K382">
        <v>1</v>
      </c>
      <c r="L382">
        <v>1</v>
      </c>
      <c r="M382">
        <v>5</v>
      </c>
      <c r="N382">
        <v>3.8964984079999998</v>
      </c>
      <c r="O382">
        <v>20</v>
      </c>
      <c r="P382">
        <v>-5</v>
      </c>
      <c r="Q382">
        <v>25</v>
      </c>
      <c r="R382">
        <v>-8510</v>
      </c>
      <c r="S382">
        <v>3660</v>
      </c>
      <c r="T382">
        <v>0</v>
      </c>
      <c r="U382">
        <v>0</v>
      </c>
      <c r="V382" t="s">
        <v>34</v>
      </c>
      <c r="W382">
        <v>-8510</v>
      </c>
      <c r="X382">
        <v>3660</v>
      </c>
      <c r="Y382">
        <v>0</v>
      </c>
      <c r="Z382">
        <v>2.7482010000000001E-2</v>
      </c>
      <c r="AA382">
        <v>12170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12170</v>
      </c>
      <c r="AH382">
        <f t="shared" si="5"/>
        <v>0</v>
      </c>
    </row>
    <row r="383" spans="1:34" x14ac:dyDescent="0.25">
      <c r="A383" s="1">
        <v>44048</v>
      </c>
      <c r="B383">
        <v>429</v>
      </c>
      <c r="C383">
        <v>8.2256169999999993E-3</v>
      </c>
      <c r="D383">
        <v>730</v>
      </c>
      <c r="E383">
        <v>-2.7322399999999999E-3</v>
      </c>
      <c r="F383">
        <v>1.0957857E-2</v>
      </c>
      <c r="G383">
        <v>1.0957857E-2</v>
      </c>
      <c r="H383">
        <v>2.3547731999999998E-2</v>
      </c>
      <c r="I383">
        <v>2.4796023E-2</v>
      </c>
      <c r="J383">
        <v>1</v>
      </c>
      <c r="K383">
        <v>0</v>
      </c>
      <c r="L383">
        <v>-1</v>
      </c>
      <c r="M383">
        <v>5</v>
      </c>
      <c r="N383">
        <v>0.56521802399999999</v>
      </c>
      <c r="O383">
        <v>-20</v>
      </c>
      <c r="P383">
        <v>5</v>
      </c>
      <c r="Q383">
        <v>25</v>
      </c>
      <c r="R383">
        <v>8580</v>
      </c>
      <c r="S383">
        <v>-3650</v>
      </c>
      <c r="T383">
        <v>70</v>
      </c>
      <c r="U383">
        <v>10</v>
      </c>
      <c r="V383" t="s">
        <v>35</v>
      </c>
      <c r="W383">
        <v>8580</v>
      </c>
      <c r="X383">
        <v>-3650</v>
      </c>
      <c r="Y383">
        <v>80</v>
      </c>
      <c r="Z383">
        <v>2.4796023E-2</v>
      </c>
      <c r="AA383">
        <v>12230</v>
      </c>
      <c r="AB383">
        <v>0</v>
      </c>
      <c r="AC383">
        <v>80</v>
      </c>
      <c r="AD383">
        <v>6.5412919999999998E-3</v>
      </c>
      <c r="AE383">
        <v>0</v>
      </c>
      <c r="AF383">
        <v>80</v>
      </c>
      <c r="AG383">
        <v>0</v>
      </c>
      <c r="AH383">
        <f t="shared" si="5"/>
        <v>6.5412919051512676E-3</v>
      </c>
    </row>
    <row r="384" spans="1:34" x14ac:dyDescent="0.25">
      <c r="A384" s="1">
        <v>44049</v>
      </c>
      <c r="B384">
        <v>435</v>
      </c>
      <c r="C384">
        <v>1.3986014E-2</v>
      </c>
      <c r="D384">
        <v>732</v>
      </c>
      <c r="E384">
        <v>2.7397260000000001E-3</v>
      </c>
      <c r="F384">
        <v>1.1246288E-2</v>
      </c>
      <c r="G384">
        <v>1.1246288E-2</v>
      </c>
      <c r="H384">
        <v>2.0401422999999998E-2</v>
      </c>
      <c r="I384">
        <v>2.4641982999999999E-2</v>
      </c>
      <c r="J384">
        <v>1</v>
      </c>
      <c r="K384">
        <v>0</v>
      </c>
      <c r="L384">
        <v>0</v>
      </c>
      <c r="M384">
        <v>5</v>
      </c>
      <c r="N384">
        <v>0.329636278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W384">
        <v>0</v>
      </c>
      <c r="X384">
        <v>0</v>
      </c>
      <c r="Y384">
        <v>0</v>
      </c>
      <c r="Z384">
        <v>2.4641982999999999E-2</v>
      </c>
      <c r="AA384">
        <v>0</v>
      </c>
      <c r="AB384" t="s">
        <v>33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f t="shared" si="5"/>
        <v>0</v>
      </c>
    </row>
    <row r="385" spans="1:34" x14ac:dyDescent="0.25">
      <c r="A385" s="1">
        <v>44050</v>
      </c>
      <c r="B385">
        <v>433</v>
      </c>
      <c r="C385">
        <v>-4.597701E-3</v>
      </c>
      <c r="D385">
        <v>705</v>
      </c>
      <c r="E385">
        <v>-3.6885245999999997E-2</v>
      </c>
      <c r="F385">
        <v>3.2287545000000001E-2</v>
      </c>
      <c r="G385">
        <v>3.2287545000000001E-2</v>
      </c>
      <c r="H385">
        <v>1.7597597E-2</v>
      </c>
      <c r="I385">
        <v>3.1975982E-2</v>
      </c>
      <c r="J385">
        <v>1</v>
      </c>
      <c r="K385">
        <v>1</v>
      </c>
      <c r="L385">
        <v>1</v>
      </c>
      <c r="M385">
        <v>5</v>
      </c>
      <c r="N385">
        <v>13.062104829999999</v>
      </c>
      <c r="O385">
        <v>-66</v>
      </c>
      <c r="P385">
        <v>5</v>
      </c>
      <c r="Q385">
        <v>71</v>
      </c>
      <c r="R385">
        <v>28578</v>
      </c>
      <c r="S385">
        <v>-3525</v>
      </c>
      <c r="T385">
        <v>0</v>
      </c>
      <c r="U385">
        <v>0</v>
      </c>
      <c r="V385" t="s">
        <v>34</v>
      </c>
      <c r="W385">
        <v>28578</v>
      </c>
      <c r="X385">
        <v>-3525</v>
      </c>
      <c r="Y385">
        <v>0</v>
      </c>
      <c r="Z385">
        <v>3.1975982E-2</v>
      </c>
      <c r="AA385">
        <v>32103</v>
      </c>
      <c r="AB385">
        <v>0.01</v>
      </c>
      <c r="AC385">
        <v>0</v>
      </c>
      <c r="AD385">
        <v>0</v>
      </c>
      <c r="AE385">
        <v>0</v>
      </c>
      <c r="AF385">
        <v>0</v>
      </c>
      <c r="AG385">
        <v>32103</v>
      </c>
      <c r="AH385">
        <f t="shared" si="5"/>
        <v>0</v>
      </c>
    </row>
    <row r="386" spans="1:34" x14ac:dyDescent="0.25">
      <c r="A386" s="1">
        <v>44053</v>
      </c>
      <c r="B386">
        <v>435.5</v>
      </c>
      <c r="C386">
        <v>5.7736719999999997E-3</v>
      </c>
      <c r="D386">
        <v>706</v>
      </c>
      <c r="E386">
        <v>1.41844E-3</v>
      </c>
      <c r="F386">
        <v>4.3552319999999997E-3</v>
      </c>
      <c r="G386">
        <v>4.3552319999999997E-3</v>
      </c>
      <c r="H386">
        <v>1.0147866E-2</v>
      </c>
      <c r="I386">
        <v>3.1622706E-2</v>
      </c>
      <c r="J386">
        <v>1</v>
      </c>
      <c r="K386">
        <v>1</v>
      </c>
      <c r="L386">
        <v>0</v>
      </c>
      <c r="M386">
        <v>5</v>
      </c>
      <c r="N386">
        <v>0.398267908</v>
      </c>
      <c r="O386">
        <v>66</v>
      </c>
      <c r="P386">
        <v>-5</v>
      </c>
      <c r="Q386">
        <v>71</v>
      </c>
      <c r="R386">
        <v>-28743</v>
      </c>
      <c r="S386">
        <v>3530</v>
      </c>
      <c r="T386">
        <v>-165</v>
      </c>
      <c r="U386">
        <v>5</v>
      </c>
      <c r="V386" t="s">
        <v>37</v>
      </c>
      <c r="W386">
        <v>0</v>
      </c>
      <c r="X386">
        <v>0</v>
      </c>
      <c r="Y386">
        <v>0</v>
      </c>
      <c r="Z386">
        <v>3.1622706E-2</v>
      </c>
      <c r="AA386">
        <v>32273</v>
      </c>
      <c r="AB386">
        <v>0.01</v>
      </c>
      <c r="AC386">
        <v>-160</v>
      </c>
      <c r="AD386">
        <v>-4.9577049999999998E-3</v>
      </c>
      <c r="AE386">
        <v>0</v>
      </c>
      <c r="AF386">
        <v>0</v>
      </c>
      <c r="AG386">
        <v>0</v>
      </c>
      <c r="AH386">
        <f t="shared" si="5"/>
        <v>0</v>
      </c>
    </row>
    <row r="387" spans="1:34" x14ac:dyDescent="0.25">
      <c r="A387" s="1">
        <v>44054</v>
      </c>
      <c r="B387">
        <v>429</v>
      </c>
      <c r="C387">
        <v>-1.4925373E-2</v>
      </c>
      <c r="D387">
        <v>693</v>
      </c>
      <c r="E387">
        <v>-1.8413598E-2</v>
      </c>
      <c r="F387">
        <v>3.4882250000000002E-3</v>
      </c>
      <c r="G387">
        <v>3.4882250000000002E-3</v>
      </c>
      <c r="H387">
        <v>1.1469398E-2</v>
      </c>
      <c r="I387">
        <v>1.6853092E-2</v>
      </c>
      <c r="J387">
        <v>1</v>
      </c>
      <c r="K387">
        <v>1</v>
      </c>
      <c r="L387">
        <v>0</v>
      </c>
      <c r="M387">
        <v>5</v>
      </c>
      <c r="N387">
        <v>1.992917847</v>
      </c>
      <c r="O387">
        <v>66</v>
      </c>
      <c r="P387">
        <v>-5</v>
      </c>
      <c r="Q387">
        <v>71</v>
      </c>
      <c r="R387">
        <v>-28314</v>
      </c>
      <c r="S387">
        <v>3465</v>
      </c>
      <c r="T387">
        <v>264</v>
      </c>
      <c r="U387">
        <v>-60</v>
      </c>
      <c r="V387" t="s">
        <v>37</v>
      </c>
      <c r="W387">
        <v>0</v>
      </c>
      <c r="X387">
        <v>0</v>
      </c>
      <c r="Y387">
        <v>0</v>
      </c>
      <c r="Z387">
        <v>1.6853092E-2</v>
      </c>
      <c r="AA387">
        <v>31779</v>
      </c>
      <c r="AB387">
        <v>0.01</v>
      </c>
      <c r="AC387">
        <v>204</v>
      </c>
      <c r="AD387">
        <v>6.4193339999999996E-3</v>
      </c>
      <c r="AE387">
        <v>0</v>
      </c>
      <c r="AF387">
        <v>0</v>
      </c>
      <c r="AG387">
        <v>0</v>
      </c>
      <c r="AH387">
        <f t="shared" ref="AH387:AH450" si="6">IF(AF387&lt;&gt;0,AF387/AA387,0)</f>
        <v>0</v>
      </c>
    </row>
    <row r="388" spans="1:34" x14ac:dyDescent="0.25">
      <c r="A388" s="1">
        <v>44055</v>
      </c>
      <c r="B388">
        <v>419</v>
      </c>
      <c r="C388">
        <v>-2.3310022999999999E-2</v>
      </c>
      <c r="D388">
        <v>680</v>
      </c>
      <c r="E388">
        <v>-1.8759018999999998E-2</v>
      </c>
      <c r="F388">
        <v>-4.5510050000000003E-3</v>
      </c>
      <c r="G388">
        <v>4.5510050000000003E-3</v>
      </c>
      <c r="H388">
        <v>1.5080867E-2</v>
      </c>
      <c r="I388">
        <v>1.6460613999999998E-2</v>
      </c>
      <c r="J388">
        <v>0</v>
      </c>
      <c r="K388">
        <v>0</v>
      </c>
      <c r="L388">
        <v>-1</v>
      </c>
      <c r="M388">
        <v>5</v>
      </c>
      <c r="N388">
        <v>1.306057507</v>
      </c>
      <c r="O388">
        <v>66</v>
      </c>
      <c r="P388">
        <v>-5</v>
      </c>
      <c r="Q388">
        <v>71</v>
      </c>
      <c r="R388">
        <v>-27654</v>
      </c>
      <c r="S388">
        <v>3400</v>
      </c>
      <c r="T388">
        <v>924</v>
      </c>
      <c r="U388">
        <v>-125</v>
      </c>
      <c r="V388" t="s">
        <v>35</v>
      </c>
      <c r="W388">
        <v>-27654</v>
      </c>
      <c r="X388">
        <v>3400</v>
      </c>
      <c r="Y388">
        <v>799</v>
      </c>
      <c r="Z388">
        <v>1.6460613999999998E-2</v>
      </c>
      <c r="AA388">
        <v>31054</v>
      </c>
      <c r="AB388">
        <v>0.01</v>
      </c>
      <c r="AC388">
        <v>799</v>
      </c>
      <c r="AD388">
        <v>2.5729374999999999E-2</v>
      </c>
      <c r="AE388">
        <v>0</v>
      </c>
      <c r="AF388">
        <v>799</v>
      </c>
      <c r="AG388">
        <v>0</v>
      </c>
      <c r="AH388">
        <f t="shared" si="6"/>
        <v>2.5729374637727828E-2</v>
      </c>
    </row>
    <row r="389" spans="1:34" x14ac:dyDescent="0.25">
      <c r="A389" s="1">
        <v>44056</v>
      </c>
      <c r="B389">
        <v>429</v>
      </c>
      <c r="C389">
        <v>2.3866347999999999E-2</v>
      </c>
      <c r="D389">
        <v>684</v>
      </c>
      <c r="E389">
        <v>5.8823529999999999E-3</v>
      </c>
      <c r="F389">
        <v>1.7983995999999999E-2</v>
      </c>
      <c r="G389">
        <v>1.7983995999999999E-2</v>
      </c>
      <c r="H389">
        <v>1.8407805999999999E-2</v>
      </c>
      <c r="I389">
        <v>1.7297366000000002E-2</v>
      </c>
      <c r="J389">
        <v>1</v>
      </c>
      <c r="K389">
        <v>0</v>
      </c>
      <c r="L389">
        <v>0</v>
      </c>
      <c r="M389">
        <v>5</v>
      </c>
      <c r="N389">
        <v>0.39297408499999997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W389">
        <v>0</v>
      </c>
      <c r="X389">
        <v>0</v>
      </c>
      <c r="Y389">
        <v>0</v>
      </c>
      <c r="Z389">
        <v>1.8407805999999999E-2</v>
      </c>
      <c r="AA389">
        <v>0</v>
      </c>
      <c r="AB389" t="s">
        <v>33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f t="shared" si="6"/>
        <v>0</v>
      </c>
    </row>
    <row r="390" spans="1:34" x14ac:dyDescent="0.25">
      <c r="A390" s="1">
        <v>44057</v>
      </c>
      <c r="B390">
        <v>427</v>
      </c>
      <c r="C390">
        <v>-4.6620050000000003E-3</v>
      </c>
      <c r="D390">
        <v>680</v>
      </c>
      <c r="E390">
        <v>-5.8479530000000004E-3</v>
      </c>
      <c r="F390">
        <v>1.1859489999999999E-3</v>
      </c>
      <c r="G390">
        <v>1.1859489999999999E-3</v>
      </c>
      <c r="H390">
        <v>1.8409538999999999E-2</v>
      </c>
      <c r="I390">
        <v>1.1253816E-2</v>
      </c>
      <c r="J390">
        <v>1</v>
      </c>
      <c r="K390">
        <v>0</v>
      </c>
      <c r="L390">
        <v>0</v>
      </c>
      <c r="M390">
        <v>5</v>
      </c>
      <c r="N390">
        <v>1.9976169930000001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W390">
        <v>0</v>
      </c>
      <c r="X390">
        <v>0</v>
      </c>
      <c r="Y390">
        <v>0</v>
      </c>
      <c r="Z390">
        <v>1.8409538999999999E-2</v>
      </c>
      <c r="AA390">
        <v>0</v>
      </c>
      <c r="AB390" t="s">
        <v>33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f t="shared" si="6"/>
        <v>0</v>
      </c>
    </row>
    <row r="391" spans="1:34" x14ac:dyDescent="0.25">
      <c r="A391" s="1">
        <v>44060</v>
      </c>
      <c r="B391">
        <v>435</v>
      </c>
      <c r="C391">
        <v>1.8735363000000001E-2</v>
      </c>
      <c r="D391">
        <v>685</v>
      </c>
      <c r="E391">
        <v>7.352941E-3</v>
      </c>
      <c r="F391">
        <v>1.1382422E-2</v>
      </c>
      <c r="G391">
        <v>1.1382422E-2</v>
      </c>
      <c r="H391">
        <v>2.0666744000000001E-2</v>
      </c>
      <c r="I391">
        <v>1.2613437E-2</v>
      </c>
      <c r="J391">
        <v>1</v>
      </c>
      <c r="K391">
        <v>0</v>
      </c>
      <c r="L391">
        <v>0</v>
      </c>
      <c r="M391">
        <v>5</v>
      </c>
      <c r="N391">
        <v>0.61801681900000005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W391">
        <v>0</v>
      </c>
      <c r="X391">
        <v>0</v>
      </c>
      <c r="Y391">
        <v>0</v>
      </c>
      <c r="Z391">
        <v>2.0666744000000001E-2</v>
      </c>
      <c r="AA391">
        <v>0</v>
      </c>
      <c r="AB391" t="s">
        <v>33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f t="shared" si="6"/>
        <v>0</v>
      </c>
    </row>
    <row r="392" spans="1:34" x14ac:dyDescent="0.25">
      <c r="A392" s="1">
        <v>44061</v>
      </c>
      <c r="B392">
        <v>433</v>
      </c>
      <c r="C392">
        <v>-4.597701E-3</v>
      </c>
      <c r="D392">
        <v>617</v>
      </c>
      <c r="E392">
        <v>-9.9270073E-2</v>
      </c>
      <c r="F392">
        <v>9.4672372000000005E-2</v>
      </c>
      <c r="G392">
        <v>9.4672372000000005E-2</v>
      </c>
      <c r="H392">
        <v>1.9278995E-2</v>
      </c>
      <c r="I392">
        <v>4.4387484999999997E-2</v>
      </c>
      <c r="J392">
        <v>1</v>
      </c>
      <c r="K392">
        <v>1</v>
      </c>
      <c r="L392">
        <v>1</v>
      </c>
      <c r="M392">
        <v>5</v>
      </c>
      <c r="N392">
        <v>30.766271639999999</v>
      </c>
      <c r="O392">
        <v>-154</v>
      </c>
      <c r="P392">
        <v>5</v>
      </c>
      <c r="Q392">
        <v>159</v>
      </c>
      <c r="R392">
        <v>66682</v>
      </c>
      <c r="S392">
        <v>-3085</v>
      </c>
      <c r="T392">
        <v>0</v>
      </c>
      <c r="U392">
        <v>0</v>
      </c>
      <c r="V392" t="s">
        <v>34</v>
      </c>
      <c r="W392">
        <v>66682</v>
      </c>
      <c r="X392">
        <v>-3085</v>
      </c>
      <c r="Y392">
        <v>0</v>
      </c>
      <c r="Z392">
        <v>4.4387484999999997E-2</v>
      </c>
      <c r="AA392">
        <v>69767</v>
      </c>
      <c r="AB392">
        <v>0.02</v>
      </c>
      <c r="AC392">
        <v>0</v>
      </c>
      <c r="AD392">
        <v>0</v>
      </c>
      <c r="AE392">
        <v>0</v>
      </c>
      <c r="AF392">
        <v>0</v>
      </c>
      <c r="AG392">
        <v>69767</v>
      </c>
      <c r="AH392">
        <f t="shared" si="6"/>
        <v>0</v>
      </c>
    </row>
    <row r="393" spans="1:34" x14ac:dyDescent="0.25">
      <c r="A393" s="1">
        <v>44062</v>
      </c>
      <c r="B393">
        <v>427.5</v>
      </c>
      <c r="C393">
        <v>-1.2702079E-2</v>
      </c>
      <c r="D393">
        <v>609</v>
      </c>
      <c r="E393">
        <v>-1.2965964E-2</v>
      </c>
      <c r="F393">
        <v>2.6388600000000001E-4</v>
      </c>
      <c r="G393">
        <v>2.6388600000000001E-4</v>
      </c>
      <c r="H393">
        <v>1.6121654999999999E-2</v>
      </c>
      <c r="I393">
        <v>4.4572637999999998E-2</v>
      </c>
      <c r="J393">
        <v>1</v>
      </c>
      <c r="K393">
        <v>1</v>
      </c>
      <c r="L393">
        <v>0</v>
      </c>
      <c r="M393">
        <v>5</v>
      </c>
      <c r="N393">
        <v>1.454156682</v>
      </c>
      <c r="O393">
        <v>154</v>
      </c>
      <c r="P393">
        <v>-5</v>
      </c>
      <c r="Q393">
        <v>159</v>
      </c>
      <c r="R393">
        <v>-65835</v>
      </c>
      <c r="S393">
        <v>3045</v>
      </c>
      <c r="T393">
        <v>847</v>
      </c>
      <c r="U393">
        <v>-40</v>
      </c>
      <c r="V393" t="s">
        <v>37</v>
      </c>
      <c r="W393">
        <v>0</v>
      </c>
      <c r="X393">
        <v>0</v>
      </c>
      <c r="Y393">
        <v>0</v>
      </c>
      <c r="Z393">
        <v>4.4572637999999998E-2</v>
      </c>
      <c r="AA393">
        <v>68880</v>
      </c>
      <c r="AB393">
        <v>0.01</v>
      </c>
      <c r="AC393">
        <v>807</v>
      </c>
      <c r="AD393">
        <v>1.1716028E-2</v>
      </c>
      <c r="AE393">
        <v>0</v>
      </c>
      <c r="AF393">
        <v>0</v>
      </c>
      <c r="AG393">
        <v>0</v>
      </c>
      <c r="AH393">
        <f t="shared" si="6"/>
        <v>0</v>
      </c>
    </row>
    <row r="394" spans="1:34" x14ac:dyDescent="0.25">
      <c r="A394" s="1">
        <v>44063</v>
      </c>
      <c r="B394">
        <v>415</v>
      </c>
      <c r="C394">
        <v>-2.9239766E-2</v>
      </c>
      <c r="D394">
        <v>565</v>
      </c>
      <c r="E394">
        <v>-7.2249589000000003E-2</v>
      </c>
      <c r="F394">
        <v>4.3009823000000003E-2</v>
      </c>
      <c r="G394">
        <v>4.3009823000000003E-2</v>
      </c>
      <c r="H394">
        <v>1.7316055E-2</v>
      </c>
      <c r="I394">
        <v>4.6461135000000001E-2</v>
      </c>
      <c r="J394">
        <v>1</v>
      </c>
      <c r="K394">
        <v>1</v>
      </c>
      <c r="L394">
        <v>0</v>
      </c>
      <c r="M394">
        <v>5</v>
      </c>
      <c r="N394">
        <v>3.364045344</v>
      </c>
      <c r="O394">
        <v>154</v>
      </c>
      <c r="P394">
        <v>-5</v>
      </c>
      <c r="Q394">
        <v>159</v>
      </c>
      <c r="R394">
        <v>-63910</v>
      </c>
      <c r="S394">
        <v>2825</v>
      </c>
      <c r="T394">
        <v>2772</v>
      </c>
      <c r="U394">
        <v>-260</v>
      </c>
      <c r="V394" t="s">
        <v>37</v>
      </c>
      <c r="W394">
        <v>0</v>
      </c>
      <c r="X394">
        <v>0</v>
      </c>
      <c r="Y394">
        <v>0</v>
      </c>
      <c r="Z394">
        <v>4.6461135000000001E-2</v>
      </c>
      <c r="AA394">
        <v>66735</v>
      </c>
      <c r="AB394">
        <v>0.01</v>
      </c>
      <c r="AC394">
        <v>2512</v>
      </c>
      <c r="AD394">
        <v>3.7641418000000003E-2</v>
      </c>
      <c r="AE394">
        <v>0</v>
      </c>
      <c r="AF394">
        <v>0</v>
      </c>
      <c r="AG394">
        <v>0</v>
      </c>
      <c r="AH394">
        <f t="shared" si="6"/>
        <v>0</v>
      </c>
    </row>
    <row r="395" spans="1:34" x14ac:dyDescent="0.25">
      <c r="A395" s="1">
        <v>44064</v>
      </c>
      <c r="B395">
        <v>424.5</v>
      </c>
      <c r="C395">
        <v>2.2891565999999999E-2</v>
      </c>
      <c r="D395">
        <v>604</v>
      </c>
      <c r="E395">
        <v>6.9026549000000006E-2</v>
      </c>
      <c r="F395">
        <v>-4.6134981999999998E-2</v>
      </c>
      <c r="G395">
        <v>4.6134981999999998E-2</v>
      </c>
      <c r="H395">
        <v>2.1838363E-2</v>
      </c>
      <c r="I395">
        <v>6.6565774999999994E-2</v>
      </c>
      <c r="J395">
        <v>0</v>
      </c>
      <c r="K395">
        <v>0</v>
      </c>
      <c r="L395">
        <v>-1</v>
      </c>
      <c r="M395">
        <v>5</v>
      </c>
      <c r="N395">
        <v>4.2904208519999996</v>
      </c>
      <c r="O395">
        <v>154</v>
      </c>
      <c r="P395">
        <v>-5</v>
      </c>
      <c r="Q395">
        <v>159</v>
      </c>
      <c r="R395">
        <v>-65373</v>
      </c>
      <c r="S395">
        <v>3020</v>
      </c>
      <c r="T395">
        <v>1309</v>
      </c>
      <c r="U395">
        <v>-65</v>
      </c>
      <c r="V395" t="s">
        <v>35</v>
      </c>
      <c r="W395">
        <v>-65373</v>
      </c>
      <c r="X395">
        <v>3020</v>
      </c>
      <c r="Y395">
        <v>1244</v>
      </c>
      <c r="Z395">
        <v>6.6565774999999994E-2</v>
      </c>
      <c r="AA395">
        <v>68393</v>
      </c>
      <c r="AB395">
        <v>0.01</v>
      </c>
      <c r="AC395">
        <v>1244</v>
      </c>
      <c r="AD395">
        <v>1.8188995999999999E-2</v>
      </c>
      <c r="AE395">
        <v>0</v>
      </c>
      <c r="AF395">
        <v>1244</v>
      </c>
      <c r="AG395">
        <v>0</v>
      </c>
      <c r="AH395">
        <f t="shared" si="6"/>
        <v>1.8188995949877912E-2</v>
      </c>
    </row>
    <row r="396" spans="1:34" x14ac:dyDescent="0.25">
      <c r="A396" s="1">
        <v>44067</v>
      </c>
      <c r="B396">
        <v>428</v>
      </c>
      <c r="C396">
        <v>8.2449940000000003E-3</v>
      </c>
      <c r="D396">
        <v>585</v>
      </c>
      <c r="E396">
        <v>-3.1456954000000002E-2</v>
      </c>
      <c r="F396">
        <v>3.9701948000000001E-2</v>
      </c>
      <c r="G396">
        <v>3.9701948000000001E-2</v>
      </c>
      <c r="H396">
        <v>1.9887175E-2</v>
      </c>
      <c r="I396">
        <v>6.4575550999999995E-2</v>
      </c>
      <c r="J396">
        <v>1</v>
      </c>
      <c r="K396">
        <v>0</v>
      </c>
      <c r="L396">
        <v>0</v>
      </c>
      <c r="M396">
        <v>5</v>
      </c>
      <c r="N396">
        <v>5.2148090390000004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W396">
        <v>0</v>
      </c>
      <c r="X396">
        <v>0</v>
      </c>
      <c r="Y396">
        <v>0</v>
      </c>
      <c r="Z396">
        <v>6.4575550999999995E-2</v>
      </c>
      <c r="AA396">
        <v>0</v>
      </c>
      <c r="AB396" t="s">
        <v>33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f t="shared" si="6"/>
        <v>0</v>
      </c>
    </row>
    <row r="397" spans="1:34" x14ac:dyDescent="0.25">
      <c r="A397" s="1">
        <v>44068</v>
      </c>
      <c r="B397">
        <v>434.5</v>
      </c>
      <c r="C397">
        <v>1.5186916E-2</v>
      </c>
      <c r="D397">
        <v>589</v>
      </c>
      <c r="E397">
        <v>6.8376069999999999E-3</v>
      </c>
      <c r="F397">
        <v>8.3493089999999992E-3</v>
      </c>
      <c r="G397">
        <v>8.3493089999999992E-3</v>
      </c>
      <c r="H397">
        <v>2.1419110000000002E-2</v>
      </c>
      <c r="I397">
        <v>5.2096095000000002E-2</v>
      </c>
      <c r="J397">
        <v>1</v>
      </c>
      <c r="K397">
        <v>0</v>
      </c>
      <c r="L397">
        <v>0</v>
      </c>
      <c r="M397">
        <v>5</v>
      </c>
      <c r="N397">
        <v>0.61032344299999997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W397">
        <v>0</v>
      </c>
      <c r="X397">
        <v>0</v>
      </c>
      <c r="Y397">
        <v>0</v>
      </c>
      <c r="Z397">
        <v>5.2096095000000002E-2</v>
      </c>
      <c r="AA397">
        <v>0</v>
      </c>
      <c r="AB397" t="s">
        <v>33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f t="shared" si="6"/>
        <v>0</v>
      </c>
    </row>
    <row r="398" spans="1:34" x14ac:dyDescent="0.25">
      <c r="A398" s="1">
        <v>44069</v>
      </c>
      <c r="B398">
        <v>442</v>
      </c>
      <c r="C398">
        <v>1.7261220000000001E-2</v>
      </c>
      <c r="D398">
        <v>578</v>
      </c>
      <c r="E398">
        <v>-1.8675721999999999E-2</v>
      </c>
      <c r="F398">
        <v>3.5936941E-2</v>
      </c>
      <c r="G398">
        <v>3.5936941E-2</v>
      </c>
      <c r="H398">
        <v>2.0854524999999999E-2</v>
      </c>
      <c r="I398">
        <v>5.2289951000000001E-2</v>
      </c>
      <c r="J398">
        <v>1</v>
      </c>
      <c r="K398">
        <v>0</v>
      </c>
      <c r="L398">
        <v>0</v>
      </c>
      <c r="M398">
        <v>5</v>
      </c>
      <c r="N398">
        <v>1.414853511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W398">
        <v>0</v>
      </c>
      <c r="X398">
        <v>0</v>
      </c>
      <c r="Y398">
        <v>0</v>
      </c>
      <c r="Z398">
        <v>5.2289951000000001E-2</v>
      </c>
      <c r="AA398">
        <v>0</v>
      </c>
      <c r="AB398" t="s">
        <v>33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f t="shared" si="6"/>
        <v>0</v>
      </c>
    </row>
    <row r="399" spans="1:34" x14ac:dyDescent="0.25">
      <c r="A399" s="1">
        <v>44070</v>
      </c>
      <c r="B399">
        <v>444</v>
      </c>
      <c r="C399">
        <v>4.524887E-3</v>
      </c>
      <c r="D399">
        <v>558</v>
      </c>
      <c r="E399">
        <v>-3.4602076000000002E-2</v>
      </c>
      <c r="F399">
        <v>3.9126963000000001E-2</v>
      </c>
      <c r="G399">
        <v>3.9126963000000001E-2</v>
      </c>
      <c r="H399">
        <v>7.3021809999999996E-3</v>
      </c>
      <c r="I399">
        <v>4.2811522999999997E-2</v>
      </c>
      <c r="J399">
        <v>1</v>
      </c>
      <c r="K399">
        <v>0</v>
      </c>
      <c r="L399">
        <v>0</v>
      </c>
      <c r="M399">
        <v>5</v>
      </c>
      <c r="N399">
        <v>9.6104928459999996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W399">
        <v>0</v>
      </c>
      <c r="X399">
        <v>0</v>
      </c>
      <c r="Y399">
        <v>0</v>
      </c>
      <c r="Z399">
        <v>4.2811522999999997E-2</v>
      </c>
      <c r="AA399">
        <v>0</v>
      </c>
      <c r="AB399" t="s">
        <v>33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f t="shared" si="6"/>
        <v>0</v>
      </c>
    </row>
    <row r="400" spans="1:34" x14ac:dyDescent="0.25">
      <c r="A400" s="1">
        <v>44071</v>
      </c>
      <c r="B400">
        <v>435</v>
      </c>
      <c r="C400">
        <v>-2.027027E-2</v>
      </c>
      <c r="D400">
        <v>574</v>
      </c>
      <c r="E400">
        <v>2.8673835000000002E-2</v>
      </c>
      <c r="F400">
        <v>-4.8944105000000002E-2</v>
      </c>
      <c r="G400">
        <v>4.8944105000000002E-2</v>
      </c>
      <c r="H400">
        <v>1.5028743000000001E-2</v>
      </c>
      <c r="I400">
        <v>2.7018423999999999E-2</v>
      </c>
      <c r="J400">
        <v>0</v>
      </c>
      <c r="K400">
        <v>1</v>
      </c>
      <c r="L400">
        <v>1</v>
      </c>
      <c r="M400">
        <v>5</v>
      </c>
      <c r="N400">
        <v>1.866589764</v>
      </c>
      <c r="O400">
        <v>10</v>
      </c>
      <c r="P400">
        <v>-5</v>
      </c>
      <c r="Q400">
        <v>15</v>
      </c>
      <c r="R400">
        <v>-4350</v>
      </c>
      <c r="S400">
        <v>2870</v>
      </c>
      <c r="T400">
        <v>0</v>
      </c>
      <c r="U400">
        <v>0</v>
      </c>
      <c r="V400" t="s">
        <v>34</v>
      </c>
      <c r="W400">
        <v>-4350</v>
      </c>
      <c r="X400">
        <v>2870</v>
      </c>
      <c r="Y400">
        <v>0</v>
      </c>
      <c r="Z400">
        <v>2.7018423999999999E-2</v>
      </c>
      <c r="AA400">
        <v>7220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7220</v>
      </c>
      <c r="AH400">
        <f t="shared" si="6"/>
        <v>0</v>
      </c>
    </row>
    <row r="401" spans="1:34" x14ac:dyDescent="0.25">
      <c r="A401" s="1">
        <v>44074</v>
      </c>
      <c r="B401">
        <v>426.5</v>
      </c>
      <c r="C401">
        <v>-1.9540229999999999E-2</v>
      </c>
      <c r="D401">
        <v>556</v>
      </c>
      <c r="E401">
        <v>-3.1358885000000003E-2</v>
      </c>
      <c r="F401">
        <v>1.1818655000000001E-2</v>
      </c>
      <c r="G401">
        <v>1.1818655000000001E-2</v>
      </c>
      <c r="H401">
        <v>1.8304104000000002E-2</v>
      </c>
      <c r="I401">
        <v>2.6998840999999999E-2</v>
      </c>
      <c r="J401">
        <v>1</v>
      </c>
      <c r="K401">
        <v>0</v>
      </c>
      <c r="L401">
        <v>-1</v>
      </c>
      <c r="M401">
        <v>5</v>
      </c>
      <c r="N401">
        <v>2.0921205239999998</v>
      </c>
      <c r="O401">
        <v>-10</v>
      </c>
      <c r="P401">
        <v>5</v>
      </c>
      <c r="Q401">
        <v>15</v>
      </c>
      <c r="R401">
        <v>4265</v>
      </c>
      <c r="S401">
        <v>-2780</v>
      </c>
      <c r="T401">
        <v>-85</v>
      </c>
      <c r="U401">
        <v>90</v>
      </c>
      <c r="V401" t="s">
        <v>35</v>
      </c>
      <c r="W401">
        <v>4265</v>
      </c>
      <c r="X401">
        <v>-2780</v>
      </c>
      <c r="Y401">
        <v>5</v>
      </c>
      <c r="Z401">
        <v>2.6998840999999999E-2</v>
      </c>
      <c r="AA401">
        <v>7045</v>
      </c>
      <c r="AB401">
        <v>0</v>
      </c>
      <c r="AC401">
        <v>5</v>
      </c>
      <c r="AD401">
        <v>7.0972299999999999E-4</v>
      </c>
      <c r="AE401">
        <v>0</v>
      </c>
      <c r="AF401">
        <v>5</v>
      </c>
      <c r="AG401">
        <v>0</v>
      </c>
      <c r="AH401">
        <f t="shared" si="6"/>
        <v>7.0972320794889996E-4</v>
      </c>
    </row>
    <row r="402" spans="1:34" x14ac:dyDescent="0.25">
      <c r="A402" s="1">
        <v>44075</v>
      </c>
      <c r="B402">
        <v>435</v>
      </c>
      <c r="C402">
        <v>1.9929659999999998E-2</v>
      </c>
      <c r="D402">
        <v>576</v>
      </c>
      <c r="E402">
        <v>3.5971222999999997E-2</v>
      </c>
      <c r="F402">
        <v>-1.6041562999999998E-2</v>
      </c>
      <c r="G402">
        <v>1.6041562999999998E-2</v>
      </c>
      <c r="H402">
        <v>1.9413874000000001E-2</v>
      </c>
      <c r="I402">
        <v>3.3784798999999997E-2</v>
      </c>
      <c r="J402">
        <v>0</v>
      </c>
      <c r="K402">
        <v>0</v>
      </c>
      <c r="L402">
        <v>0</v>
      </c>
      <c r="M402">
        <v>5</v>
      </c>
      <c r="N402">
        <v>2.3899484869999998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W402">
        <v>0</v>
      </c>
      <c r="X402">
        <v>0</v>
      </c>
      <c r="Y402">
        <v>0</v>
      </c>
      <c r="Z402">
        <v>3.3784798999999997E-2</v>
      </c>
      <c r="AA402">
        <v>0</v>
      </c>
      <c r="AB402" t="s">
        <v>33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f t="shared" si="6"/>
        <v>0</v>
      </c>
    </row>
    <row r="403" spans="1:34" x14ac:dyDescent="0.25">
      <c r="A403" s="1">
        <v>44076</v>
      </c>
      <c r="B403">
        <v>433</v>
      </c>
      <c r="C403">
        <v>-4.597701E-3</v>
      </c>
      <c r="D403">
        <v>596</v>
      </c>
      <c r="E403">
        <v>3.4722221999999997E-2</v>
      </c>
      <c r="F403">
        <v>-3.9319923E-2</v>
      </c>
      <c r="G403">
        <v>3.9319923E-2</v>
      </c>
      <c r="H403">
        <v>1.6969676E-2</v>
      </c>
      <c r="I403">
        <v>3.6329180000000003E-2</v>
      </c>
      <c r="J403">
        <v>0</v>
      </c>
      <c r="K403">
        <v>1</v>
      </c>
      <c r="L403">
        <v>1</v>
      </c>
      <c r="M403">
        <v>5</v>
      </c>
      <c r="N403">
        <v>10.3950154</v>
      </c>
      <c r="O403">
        <v>52</v>
      </c>
      <c r="P403">
        <v>-5</v>
      </c>
      <c r="Q403">
        <v>57</v>
      </c>
      <c r="R403">
        <v>-22516</v>
      </c>
      <c r="S403">
        <v>2980</v>
      </c>
      <c r="T403">
        <v>0</v>
      </c>
      <c r="U403">
        <v>0</v>
      </c>
      <c r="V403" t="s">
        <v>34</v>
      </c>
      <c r="W403">
        <v>-22516</v>
      </c>
      <c r="X403">
        <v>2980</v>
      </c>
      <c r="Y403">
        <v>0</v>
      </c>
      <c r="Z403">
        <v>3.6329180000000003E-2</v>
      </c>
      <c r="AA403">
        <v>25496</v>
      </c>
      <c r="AB403">
        <v>0.01</v>
      </c>
      <c r="AC403">
        <v>0</v>
      </c>
      <c r="AD403">
        <v>0</v>
      </c>
      <c r="AE403">
        <v>0</v>
      </c>
      <c r="AF403">
        <v>0</v>
      </c>
      <c r="AG403">
        <v>25496</v>
      </c>
      <c r="AH403">
        <f t="shared" si="6"/>
        <v>0</v>
      </c>
    </row>
    <row r="404" spans="1:34" x14ac:dyDescent="0.25">
      <c r="A404" s="1">
        <v>44077</v>
      </c>
      <c r="B404">
        <v>436</v>
      </c>
      <c r="C404">
        <v>6.9284059999999998E-3</v>
      </c>
      <c r="D404">
        <v>603</v>
      </c>
      <c r="E404">
        <v>1.1744966000000001E-2</v>
      </c>
      <c r="F404">
        <v>-4.8165600000000001E-3</v>
      </c>
      <c r="G404">
        <v>4.8165600000000001E-3</v>
      </c>
      <c r="H404">
        <v>1.7301994000000001E-2</v>
      </c>
      <c r="I404">
        <v>2.8155614999999998E-2</v>
      </c>
      <c r="J404">
        <v>0</v>
      </c>
      <c r="K404">
        <v>1</v>
      </c>
      <c r="L404">
        <v>0</v>
      </c>
      <c r="M404">
        <v>5</v>
      </c>
      <c r="N404">
        <v>2.344494643</v>
      </c>
      <c r="O404">
        <v>-52</v>
      </c>
      <c r="P404">
        <v>5</v>
      </c>
      <c r="Q404">
        <v>57</v>
      </c>
      <c r="R404">
        <v>22672</v>
      </c>
      <c r="S404">
        <v>-3015</v>
      </c>
      <c r="T404">
        <v>156</v>
      </c>
      <c r="U404">
        <v>-35</v>
      </c>
      <c r="V404" t="s">
        <v>37</v>
      </c>
      <c r="W404">
        <v>0</v>
      </c>
      <c r="X404">
        <v>0</v>
      </c>
      <c r="Y404">
        <v>0</v>
      </c>
      <c r="Z404">
        <v>2.8155614999999998E-2</v>
      </c>
      <c r="AA404">
        <v>25687</v>
      </c>
      <c r="AB404">
        <v>0.01</v>
      </c>
      <c r="AC404">
        <v>121</v>
      </c>
      <c r="AD404">
        <v>4.7105539999999996E-3</v>
      </c>
      <c r="AE404">
        <v>0</v>
      </c>
      <c r="AF404">
        <v>0</v>
      </c>
      <c r="AG404">
        <v>0</v>
      </c>
      <c r="AH404">
        <f t="shared" si="6"/>
        <v>0</v>
      </c>
    </row>
    <row r="405" spans="1:34" x14ac:dyDescent="0.25">
      <c r="A405" s="1">
        <v>44078</v>
      </c>
      <c r="B405">
        <v>429</v>
      </c>
      <c r="C405">
        <v>-1.6055046E-2</v>
      </c>
      <c r="D405">
        <v>603</v>
      </c>
      <c r="E405">
        <v>0</v>
      </c>
      <c r="F405">
        <v>-1.6055046E-2</v>
      </c>
      <c r="G405">
        <v>1.6055046E-2</v>
      </c>
      <c r="H405">
        <v>1.6358134E-2</v>
      </c>
      <c r="I405">
        <v>2.7834609E-2</v>
      </c>
      <c r="J405">
        <v>0</v>
      </c>
      <c r="K405">
        <v>1</v>
      </c>
      <c r="L405">
        <v>0</v>
      </c>
      <c r="M405">
        <v>5</v>
      </c>
      <c r="N405">
        <v>0</v>
      </c>
      <c r="O405">
        <v>-52</v>
      </c>
      <c r="P405">
        <v>5</v>
      </c>
      <c r="Q405">
        <v>57</v>
      </c>
      <c r="R405">
        <v>22308</v>
      </c>
      <c r="S405">
        <v>-3015</v>
      </c>
      <c r="T405">
        <v>-208</v>
      </c>
      <c r="U405">
        <v>-35</v>
      </c>
      <c r="V405" t="s">
        <v>37</v>
      </c>
      <c r="W405">
        <v>0</v>
      </c>
      <c r="X405">
        <v>0</v>
      </c>
      <c r="Y405">
        <v>0</v>
      </c>
      <c r="Z405">
        <v>2.7834609E-2</v>
      </c>
      <c r="AA405">
        <v>25323</v>
      </c>
      <c r="AB405">
        <v>0.01</v>
      </c>
      <c r="AC405">
        <v>-243</v>
      </c>
      <c r="AD405">
        <v>-9.5960190000000008E-3</v>
      </c>
      <c r="AE405">
        <v>0</v>
      </c>
      <c r="AF405">
        <v>0</v>
      </c>
      <c r="AG405">
        <v>0</v>
      </c>
      <c r="AH405">
        <f t="shared" si="6"/>
        <v>0</v>
      </c>
    </row>
    <row r="406" spans="1:34" x14ac:dyDescent="0.25">
      <c r="A406" s="1">
        <v>44081</v>
      </c>
      <c r="B406">
        <v>426</v>
      </c>
      <c r="C406">
        <v>-6.9930069999999999E-3</v>
      </c>
      <c r="D406">
        <v>598</v>
      </c>
      <c r="E406">
        <v>-8.2918739999999994E-3</v>
      </c>
      <c r="F406">
        <v>1.298867E-3</v>
      </c>
      <c r="G406">
        <v>1.298867E-3</v>
      </c>
      <c r="H406">
        <v>1.3900320000000001E-2</v>
      </c>
      <c r="I406">
        <v>2.0041950999999999E-2</v>
      </c>
      <c r="J406">
        <v>1</v>
      </c>
      <c r="K406">
        <v>0</v>
      </c>
      <c r="L406">
        <v>-1</v>
      </c>
      <c r="M406">
        <v>5</v>
      </c>
      <c r="N406">
        <v>1.664486643</v>
      </c>
      <c r="O406">
        <v>-52</v>
      </c>
      <c r="P406">
        <v>5</v>
      </c>
      <c r="Q406">
        <v>57</v>
      </c>
      <c r="R406">
        <v>22152</v>
      </c>
      <c r="S406">
        <v>-2990</v>
      </c>
      <c r="T406">
        <v>-364</v>
      </c>
      <c r="U406">
        <v>-10</v>
      </c>
      <c r="V406" t="s">
        <v>35</v>
      </c>
      <c r="W406">
        <v>22152</v>
      </c>
      <c r="X406">
        <v>-2990</v>
      </c>
      <c r="Y406">
        <v>-374</v>
      </c>
      <c r="Z406">
        <v>2.0041950999999999E-2</v>
      </c>
      <c r="AA406">
        <v>25142</v>
      </c>
      <c r="AB406">
        <v>0.01</v>
      </c>
      <c r="AC406">
        <v>-374</v>
      </c>
      <c r="AD406">
        <v>-1.4875507E-2</v>
      </c>
      <c r="AE406">
        <v>0</v>
      </c>
      <c r="AF406">
        <v>-374</v>
      </c>
      <c r="AG406">
        <v>0</v>
      </c>
      <c r="AH406">
        <f t="shared" si="6"/>
        <v>-1.4875507119560894E-2</v>
      </c>
    </row>
    <row r="407" spans="1:34" x14ac:dyDescent="0.25">
      <c r="A407" s="1">
        <v>44082</v>
      </c>
      <c r="B407">
        <v>431</v>
      </c>
      <c r="C407">
        <v>1.1737088999999999E-2</v>
      </c>
      <c r="D407">
        <v>604</v>
      </c>
      <c r="E407">
        <v>1.0033445E-2</v>
      </c>
      <c r="F407">
        <v>1.703644E-3</v>
      </c>
      <c r="G407">
        <v>1.703644E-3</v>
      </c>
      <c r="H407">
        <v>1.1151665E-2</v>
      </c>
      <c r="I407">
        <v>1.6187844999999999E-2</v>
      </c>
      <c r="J407">
        <v>1</v>
      </c>
      <c r="K407">
        <v>0</v>
      </c>
      <c r="L407">
        <v>0</v>
      </c>
      <c r="M407">
        <v>5</v>
      </c>
      <c r="N407">
        <v>1.1979793430000001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W407">
        <v>0</v>
      </c>
      <c r="X407">
        <v>0</v>
      </c>
      <c r="Y407">
        <v>0</v>
      </c>
      <c r="Z407">
        <v>1.6187844999999999E-2</v>
      </c>
      <c r="AA407">
        <v>0</v>
      </c>
      <c r="AB407" t="s">
        <v>33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f t="shared" si="6"/>
        <v>0</v>
      </c>
    </row>
    <row r="408" spans="1:34" x14ac:dyDescent="0.25">
      <c r="A408" s="1">
        <v>44083</v>
      </c>
      <c r="B408">
        <v>427</v>
      </c>
      <c r="C408">
        <v>-9.2807419999999998E-3</v>
      </c>
      <c r="D408">
        <v>595</v>
      </c>
      <c r="E408">
        <v>-1.4900662E-2</v>
      </c>
      <c r="F408">
        <v>5.6199199999999996E-3</v>
      </c>
      <c r="G408">
        <v>5.6199199999999996E-3</v>
      </c>
      <c r="H408">
        <v>1.1632108E-2</v>
      </c>
      <c r="I408">
        <v>1.1499990999999999E-2</v>
      </c>
      <c r="J408">
        <v>1</v>
      </c>
      <c r="K408">
        <v>0</v>
      </c>
      <c r="L408">
        <v>0</v>
      </c>
      <c r="M408">
        <v>5</v>
      </c>
      <c r="N408">
        <v>2.2372367280000001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W408">
        <v>0</v>
      </c>
      <c r="X408">
        <v>0</v>
      </c>
      <c r="Y408">
        <v>0</v>
      </c>
      <c r="Z408">
        <v>1.1632108E-2</v>
      </c>
      <c r="AA408">
        <v>0</v>
      </c>
      <c r="AB408" t="s">
        <v>33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f t="shared" si="6"/>
        <v>0</v>
      </c>
    </row>
    <row r="409" spans="1:34" x14ac:dyDescent="0.25">
      <c r="A409" s="1">
        <v>44084</v>
      </c>
      <c r="B409">
        <v>435</v>
      </c>
      <c r="C409">
        <v>1.8735363000000001E-2</v>
      </c>
      <c r="D409">
        <v>599</v>
      </c>
      <c r="E409">
        <v>6.7226889999999996E-3</v>
      </c>
      <c r="F409">
        <v>1.2012673999999999E-2</v>
      </c>
      <c r="G409">
        <v>1.2012673999999999E-2</v>
      </c>
      <c r="H409">
        <v>1.4839834E-2</v>
      </c>
      <c r="I409">
        <v>1.0348477999999999E-2</v>
      </c>
      <c r="J409">
        <v>1</v>
      </c>
      <c r="K409">
        <v>0</v>
      </c>
      <c r="L409">
        <v>0</v>
      </c>
      <c r="M409">
        <v>5</v>
      </c>
      <c r="N409">
        <v>0.49410412399999998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W409">
        <v>0</v>
      </c>
      <c r="X409">
        <v>0</v>
      </c>
      <c r="Y409">
        <v>0</v>
      </c>
      <c r="Z409">
        <v>1.4839834E-2</v>
      </c>
      <c r="AA409">
        <v>0</v>
      </c>
      <c r="AB409" t="s">
        <v>33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f t="shared" si="6"/>
        <v>0</v>
      </c>
    </row>
    <row r="410" spans="1:34" x14ac:dyDescent="0.25">
      <c r="A410" s="1">
        <v>44085</v>
      </c>
      <c r="B410">
        <v>436.5</v>
      </c>
      <c r="C410">
        <v>3.4482760000000001E-3</v>
      </c>
      <c r="D410">
        <v>595</v>
      </c>
      <c r="E410">
        <v>-6.6777959999999997E-3</v>
      </c>
      <c r="F410">
        <v>1.0126072E-2</v>
      </c>
      <c r="G410">
        <v>1.0126072E-2</v>
      </c>
      <c r="H410">
        <v>1.1973041E-2</v>
      </c>
      <c r="I410">
        <v>1.0569366E-2</v>
      </c>
      <c r="J410">
        <v>1</v>
      </c>
      <c r="K410">
        <v>0</v>
      </c>
      <c r="L410">
        <v>0</v>
      </c>
      <c r="M410">
        <v>5</v>
      </c>
      <c r="N410">
        <v>2.6397566010000002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W410">
        <v>0</v>
      </c>
      <c r="X410">
        <v>0</v>
      </c>
      <c r="Y410">
        <v>0</v>
      </c>
      <c r="Z410">
        <v>1.1973041E-2</v>
      </c>
      <c r="AA410">
        <v>0</v>
      </c>
      <c r="AB410" t="s">
        <v>33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f t="shared" si="6"/>
        <v>0</v>
      </c>
    </row>
    <row r="411" spans="1:34" x14ac:dyDescent="0.25">
      <c r="A411" s="1">
        <v>44088</v>
      </c>
      <c r="B411">
        <v>441</v>
      </c>
      <c r="C411">
        <v>1.0309278E-2</v>
      </c>
      <c r="D411">
        <v>609</v>
      </c>
      <c r="E411">
        <v>2.3529412E-2</v>
      </c>
      <c r="F411">
        <v>-1.3220133E-2</v>
      </c>
      <c r="G411">
        <v>1.3220133E-2</v>
      </c>
      <c r="H411">
        <v>1.0592295E-2</v>
      </c>
      <c r="I411">
        <v>1.4967711E-2</v>
      </c>
      <c r="J411">
        <v>0</v>
      </c>
      <c r="K411">
        <v>0</v>
      </c>
      <c r="L411">
        <v>0</v>
      </c>
      <c r="M411">
        <v>5</v>
      </c>
      <c r="N411">
        <v>3.1518207280000001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W411">
        <v>0</v>
      </c>
      <c r="X411">
        <v>0</v>
      </c>
      <c r="Y411">
        <v>0</v>
      </c>
      <c r="Z411">
        <v>1.4967711E-2</v>
      </c>
      <c r="AA411">
        <v>0</v>
      </c>
      <c r="AB411" t="s">
        <v>33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f t="shared" si="6"/>
        <v>0</v>
      </c>
    </row>
    <row r="412" spans="1:34" x14ac:dyDescent="0.25">
      <c r="A412" s="1">
        <v>44089</v>
      </c>
      <c r="B412">
        <v>445</v>
      </c>
      <c r="C412">
        <v>9.0702950000000008E-3</v>
      </c>
      <c r="D412">
        <v>611</v>
      </c>
      <c r="E412">
        <v>3.2840719999999999E-3</v>
      </c>
      <c r="F412">
        <v>5.7862230000000001E-3</v>
      </c>
      <c r="G412">
        <v>5.7862230000000001E-3</v>
      </c>
      <c r="H412">
        <v>1.0358047E-2</v>
      </c>
      <c r="I412">
        <v>1.4557113E-2</v>
      </c>
      <c r="J412">
        <v>1</v>
      </c>
      <c r="K412">
        <v>0</v>
      </c>
      <c r="L412">
        <v>0</v>
      </c>
      <c r="M412">
        <v>5</v>
      </c>
      <c r="N412">
        <v>0.49713289399999999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W412">
        <v>0</v>
      </c>
      <c r="X412">
        <v>0</v>
      </c>
      <c r="Y412">
        <v>0</v>
      </c>
      <c r="Z412">
        <v>1.4557113E-2</v>
      </c>
      <c r="AA412">
        <v>0</v>
      </c>
      <c r="AB412" t="s">
        <v>33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f t="shared" si="6"/>
        <v>0</v>
      </c>
    </row>
    <row r="413" spans="1:34" x14ac:dyDescent="0.25">
      <c r="A413" s="1">
        <v>44090</v>
      </c>
      <c r="B413">
        <v>458</v>
      </c>
      <c r="C413">
        <v>2.9213482999999998E-2</v>
      </c>
      <c r="D413">
        <v>617</v>
      </c>
      <c r="E413">
        <v>9.8199670000000006E-3</v>
      </c>
      <c r="F413">
        <v>1.9393516E-2</v>
      </c>
      <c r="G413">
        <v>1.9393516E-2</v>
      </c>
      <c r="H413">
        <v>1.0037622E-2</v>
      </c>
      <c r="I413">
        <v>1.0972436E-2</v>
      </c>
      <c r="J413">
        <v>1</v>
      </c>
      <c r="K413">
        <v>1</v>
      </c>
      <c r="L413">
        <v>1</v>
      </c>
      <c r="M413">
        <v>5</v>
      </c>
      <c r="N413">
        <v>0.45284167199999997</v>
      </c>
      <c r="O413">
        <v>-3</v>
      </c>
      <c r="P413">
        <v>5</v>
      </c>
      <c r="Q413">
        <v>8</v>
      </c>
      <c r="R413">
        <v>1374</v>
      </c>
      <c r="S413">
        <v>-3085</v>
      </c>
      <c r="T413">
        <v>0</v>
      </c>
      <c r="U413">
        <v>0</v>
      </c>
      <c r="V413" t="s">
        <v>34</v>
      </c>
      <c r="W413">
        <v>1374</v>
      </c>
      <c r="X413">
        <v>-3085</v>
      </c>
      <c r="Y413">
        <v>0</v>
      </c>
      <c r="Z413">
        <v>1.0972436E-2</v>
      </c>
      <c r="AA413">
        <v>4459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4459</v>
      </c>
      <c r="AH413">
        <f t="shared" si="6"/>
        <v>0</v>
      </c>
    </row>
    <row r="414" spans="1:34" x14ac:dyDescent="0.25">
      <c r="A414" s="1">
        <v>44091</v>
      </c>
      <c r="B414">
        <v>448.5</v>
      </c>
      <c r="C414">
        <v>-2.0742357999999999E-2</v>
      </c>
      <c r="D414">
        <v>599</v>
      </c>
      <c r="E414">
        <v>-2.9173419999999999E-2</v>
      </c>
      <c r="F414">
        <v>8.4310619999999996E-3</v>
      </c>
      <c r="G414">
        <v>8.4310619999999996E-3</v>
      </c>
      <c r="H414">
        <v>1.7945681000000002E-2</v>
      </c>
      <c r="I414">
        <v>1.9725676000000001E-2</v>
      </c>
      <c r="J414">
        <v>1</v>
      </c>
      <c r="K414">
        <v>1</v>
      </c>
      <c r="L414">
        <v>0</v>
      </c>
      <c r="M414">
        <v>5</v>
      </c>
      <c r="N414">
        <v>1.8784238289999999</v>
      </c>
      <c r="O414">
        <v>3</v>
      </c>
      <c r="P414">
        <v>-5</v>
      </c>
      <c r="Q414">
        <v>8</v>
      </c>
      <c r="R414">
        <v>-1345.5</v>
      </c>
      <c r="S414">
        <v>2995</v>
      </c>
      <c r="T414">
        <v>28.5</v>
      </c>
      <c r="U414">
        <v>-90</v>
      </c>
      <c r="V414" t="s">
        <v>37</v>
      </c>
      <c r="W414">
        <v>0</v>
      </c>
      <c r="X414">
        <v>0</v>
      </c>
      <c r="Y414">
        <v>0</v>
      </c>
      <c r="Z414">
        <v>1.9725676000000001E-2</v>
      </c>
      <c r="AA414">
        <v>4340.5</v>
      </c>
      <c r="AB414">
        <v>0</v>
      </c>
      <c r="AC414">
        <v>-61.5</v>
      </c>
      <c r="AD414">
        <v>-1.4168874999999999E-2</v>
      </c>
      <c r="AE414">
        <v>0</v>
      </c>
      <c r="AF414">
        <v>0</v>
      </c>
      <c r="AG414">
        <v>0</v>
      </c>
      <c r="AH414">
        <f t="shared" si="6"/>
        <v>0</v>
      </c>
    </row>
    <row r="415" spans="1:34" x14ac:dyDescent="0.25">
      <c r="A415" s="1">
        <v>44092</v>
      </c>
      <c r="B415">
        <v>444</v>
      </c>
      <c r="C415">
        <v>-1.0033445E-2</v>
      </c>
      <c r="D415">
        <v>611</v>
      </c>
      <c r="E415">
        <v>2.0033388999999999E-2</v>
      </c>
      <c r="F415">
        <v>-3.0066834000000001E-2</v>
      </c>
      <c r="G415">
        <v>3.0066834000000001E-2</v>
      </c>
      <c r="H415">
        <v>1.9425522000000001E-2</v>
      </c>
      <c r="I415">
        <v>2.0988672999999999E-2</v>
      </c>
      <c r="J415">
        <v>0</v>
      </c>
      <c r="K415">
        <v>0</v>
      </c>
      <c r="L415">
        <v>-1</v>
      </c>
      <c r="M415">
        <v>5</v>
      </c>
      <c r="N415">
        <v>2.747657507</v>
      </c>
      <c r="O415">
        <v>3</v>
      </c>
      <c r="P415">
        <v>-5</v>
      </c>
      <c r="Q415">
        <v>8</v>
      </c>
      <c r="R415">
        <v>-1332</v>
      </c>
      <c r="S415">
        <v>3055</v>
      </c>
      <c r="T415">
        <v>42</v>
      </c>
      <c r="U415">
        <v>-30</v>
      </c>
      <c r="V415" t="s">
        <v>35</v>
      </c>
      <c r="W415">
        <v>-1332</v>
      </c>
      <c r="X415">
        <v>3055</v>
      </c>
      <c r="Y415">
        <v>12</v>
      </c>
      <c r="Z415">
        <v>2.0988672999999999E-2</v>
      </c>
      <c r="AA415">
        <v>4387</v>
      </c>
      <c r="AB415">
        <v>0</v>
      </c>
      <c r="AC415">
        <v>12</v>
      </c>
      <c r="AD415">
        <v>2.7353540000000002E-3</v>
      </c>
      <c r="AE415">
        <v>0</v>
      </c>
      <c r="AF415">
        <v>12</v>
      </c>
      <c r="AG415">
        <v>0</v>
      </c>
      <c r="AH415">
        <f t="shared" si="6"/>
        <v>2.7353544563483018E-3</v>
      </c>
    </row>
    <row r="416" spans="1:34" x14ac:dyDescent="0.25">
      <c r="A416" s="1">
        <v>44095</v>
      </c>
      <c r="B416">
        <v>440</v>
      </c>
      <c r="C416">
        <v>-9.0090090000000001E-3</v>
      </c>
      <c r="D416">
        <v>616</v>
      </c>
      <c r="E416">
        <v>8.1833059999999996E-3</v>
      </c>
      <c r="F416">
        <v>-1.7192315E-2</v>
      </c>
      <c r="G416">
        <v>1.7192315E-2</v>
      </c>
      <c r="H416">
        <v>1.9668024999999999E-2</v>
      </c>
      <c r="I416">
        <v>1.8688881000000001E-2</v>
      </c>
      <c r="J416">
        <v>0</v>
      </c>
      <c r="K416">
        <v>0</v>
      </c>
      <c r="L416">
        <v>0</v>
      </c>
      <c r="M416">
        <v>5</v>
      </c>
      <c r="N416">
        <v>1.2716857610000001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W416">
        <v>0</v>
      </c>
      <c r="X416">
        <v>0</v>
      </c>
      <c r="Y416">
        <v>0</v>
      </c>
      <c r="Z416">
        <v>1.9668024999999999E-2</v>
      </c>
      <c r="AA416">
        <v>0</v>
      </c>
      <c r="AB416" t="s">
        <v>33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f t="shared" si="6"/>
        <v>0</v>
      </c>
    </row>
    <row r="417" spans="1:34" x14ac:dyDescent="0.25">
      <c r="A417" s="1">
        <v>44096</v>
      </c>
      <c r="B417">
        <v>437</v>
      </c>
      <c r="C417">
        <v>-6.8181819999999999E-3</v>
      </c>
      <c r="D417">
        <v>603</v>
      </c>
      <c r="E417">
        <v>-2.1103896E-2</v>
      </c>
      <c r="F417">
        <v>1.4285714E-2</v>
      </c>
      <c r="G417">
        <v>1.4285714E-2</v>
      </c>
      <c r="H417">
        <v>1.9049369E-2</v>
      </c>
      <c r="I417">
        <v>2.1396443000000001E-2</v>
      </c>
      <c r="J417">
        <v>1</v>
      </c>
      <c r="K417">
        <v>0</v>
      </c>
      <c r="L417">
        <v>0</v>
      </c>
      <c r="M417">
        <v>5</v>
      </c>
      <c r="N417">
        <v>4.2710035959999999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W417">
        <v>0</v>
      </c>
      <c r="X417">
        <v>0</v>
      </c>
      <c r="Y417">
        <v>0</v>
      </c>
      <c r="Z417">
        <v>2.1396443000000001E-2</v>
      </c>
      <c r="AA417">
        <v>0</v>
      </c>
      <c r="AB417" t="s">
        <v>33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f t="shared" si="6"/>
        <v>0</v>
      </c>
    </row>
    <row r="418" spans="1:34" x14ac:dyDescent="0.25">
      <c r="A418" s="1">
        <v>44097</v>
      </c>
      <c r="B418">
        <v>433.5</v>
      </c>
      <c r="C418">
        <v>-8.0091529999999998E-3</v>
      </c>
      <c r="D418">
        <v>617</v>
      </c>
      <c r="E418">
        <v>2.3217247E-2</v>
      </c>
      <c r="F418">
        <v>-3.1226400000000001E-2</v>
      </c>
      <c r="G418">
        <v>3.1226400000000001E-2</v>
      </c>
      <c r="H418">
        <v>5.6172610000000001E-3</v>
      </c>
      <c r="I418">
        <v>2.3997599000000001E-2</v>
      </c>
      <c r="J418">
        <v>0</v>
      </c>
      <c r="K418">
        <v>1</v>
      </c>
      <c r="L418">
        <v>1</v>
      </c>
      <c r="M418">
        <v>5</v>
      </c>
      <c r="N418">
        <v>4.1259140670000001</v>
      </c>
      <c r="O418">
        <v>21</v>
      </c>
      <c r="P418">
        <v>-5</v>
      </c>
      <c r="Q418">
        <v>26</v>
      </c>
      <c r="R418">
        <v>-9103.5</v>
      </c>
      <c r="S418">
        <v>3085</v>
      </c>
      <c r="T418">
        <v>0</v>
      </c>
      <c r="U418">
        <v>0</v>
      </c>
      <c r="V418" t="s">
        <v>34</v>
      </c>
      <c r="W418">
        <v>-9103.5</v>
      </c>
      <c r="X418">
        <v>3085</v>
      </c>
      <c r="Y418">
        <v>0</v>
      </c>
      <c r="Z418">
        <v>2.3997599000000001E-2</v>
      </c>
      <c r="AA418">
        <v>12188.5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12188.5</v>
      </c>
      <c r="AH418">
        <f t="shared" si="6"/>
        <v>0</v>
      </c>
    </row>
    <row r="419" spans="1:34" x14ac:dyDescent="0.25">
      <c r="A419" s="1">
        <v>44098</v>
      </c>
      <c r="B419">
        <v>423</v>
      </c>
      <c r="C419">
        <v>-2.4221453E-2</v>
      </c>
      <c r="D419">
        <v>600</v>
      </c>
      <c r="E419">
        <v>-2.7552673999999999E-2</v>
      </c>
      <c r="F419">
        <v>3.3312210000000001E-3</v>
      </c>
      <c r="G419">
        <v>3.3312210000000001E-3</v>
      </c>
      <c r="H419">
        <v>7.145396E-3</v>
      </c>
      <c r="I419">
        <v>2.3507047999999999E-2</v>
      </c>
      <c r="J419">
        <v>1</v>
      </c>
      <c r="K419">
        <v>0</v>
      </c>
      <c r="L419">
        <v>-1</v>
      </c>
      <c r="M419">
        <v>5</v>
      </c>
      <c r="N419">
        <v>1.613520335</v>
      </c>
      <c r="O419">
        <v>-21</v>
      </c>
      <c r="P419">
        <v>5</v>
      </c>
      <c r="Q419">
        <v>26</v>
      </c>
      <c r="R419">
        <v>8883</v>
      </c>
      <c r="S419">
        <v>-3000</v>
      </c>
      <c r="T419">
        <v>-220.5</v>
      </c>
      <c r="U419">
        <v>85</v>
      </c>
      <c r="V419" t="s">
        <v>35</v>
      </c>
      <c r="W419">
        <v>8883</v>
      </c>
      <c r="X419">
        <v>-3000</v>
      </c>
      <c r="Y419">
        <v>-135.5</v>
      </c>
      <c r="Z419">
        <v>2.3507047999999999E-2</v>
      </c>
      <c r="AA419">
        <v>11883</v>
      </c>
      <c r="AB419">
        <v>0</v>
      </c>
      <c r="AC419">
        <v>-135.5</v>
      </c>
      <c r="AD419">
        <v>-1.1402844000000001E-2</v>
      </c>
      <c r="AE419">
        <v>0</v>
      </c>
      <c r="AF419">
        <v>-135.5</v>
      </c>
      <c r="AG419">
        <v>0</v>
      </c>
      <c r="AH419">
        <f t="shared" si="6"/>
        <v>-1.1402844399562399E-2</v>
      </c>
    </row>
    <row r="420" spans="1:34" x14ac:dyDescent="0.25">
      <c r="A420" s="1">
        <v>44099</v>
      </c>
      <c r="B420">
        <v>424</v>
      </c>
      <c r="C420">
        <v>2.3640660000000002E-3</v>
      </c>
      <c r="D420">
        <v>585</v>
      </c>
      <c r="E420">
        <v>-2.5000000000000001E-2</v>
      </c>
      <c r="F420">
        <v>2.7364065999999999E-2</v>
      </c>
      <c r="G420">
        <v>2.7364065999999999E-2</v>
      </c>
      <c r="H420">
        <v>9.5718409999999993E-3</v>
      </c>
      <c r="I420">
        <v>2.2794829999999999E-2</v>
      </c>
      <c r="J420">
        <v>1</v>
      </c>
      <c r="K420">
        <v>1</v>
      </c>
      <c r="L420">
        <v>1</v>
      </c>
      <c r="M420">
        <v>5</v>
      </c>
      <c r="N420">
        <v>14.59050708</v>
      </c>
      <c r="O420">
        <v>-73</v>
      </c>
      <c r="P420">
        <v>5</v>
      </c>
      <c r="Q420">
        <v>78</v>
      </c>
      <c r="R420">
        <v>30952</v>
      </c>
      <c r="S420">
        <v>-2925</v>
      </c>
      <c r="T420">
        <v>0</v>
      </c>
      <c r="U420">
        <v>0</v>
      </c>
      <c r="V420" t="s">
        <v>34</v>
      </c>
      <c r="W420">
        <v>30952</v>
      </c>
      <c r="X420">
        <v>-2925</v>
      </c>
      <c r="Y420">
        <v>0</v>
      </c>
      <c r="Z420">
        <v>2.2794829999999999E-2</v>
      </c>
      <c r="AA420">
        <v>33877</v>
      </c>
      <c r="AB420">
        <v>0.01</v>
      </c>
      <c r="AC420">
        <v>0</v>
      </c>
      <c r="AD420">
        <v>0</v>
      </c>
      <c r="AE420">
        <v>0</v>
      </c>
      <c r="AF420">
        <v>0</v>
      </c>
      <c r="AG420">
        <v>33877</v>
      </c>
      <c r="AH420">
        <f t="shared" si="6"/>
        <v>0</v>
      </c>
    </row>
    <row r="421" spans="1:34" x14ac:dyDescent="0.25">
      <c r="A421" s="1">
        <v>44102</v>
      </c>
      <c r="B421">
        <v>431.5</v>
      </c>
      <c r="C421">
        <v>1.7688678999999999E-2</v>
      </c>
      <c r="D421">
        <v>603</v>
      </c>
      <c r="E421">
        <v>3.0769231000000001E-2</v>
      </c>
      <c r="F421">
        <v>-1.3080552E-2</v>
      </c>
      <c r="G421">
        <v>1.3080552E-2</v>
      </c>
      <c r="H421">
        <v>1.5359209E-2</v>
      </c>
      <c r="I421">
        <v>2.8451397E-2</v>
      </c>
      <c r="J421">
        <v>0</v>
      </c>
      <c r="K421">
        <v>0</v>
      </c>
      <c r="L421">
        <v>-1</v>
      </c>
      <c r="M421">
        <v>5</v>
      </c>
      <c r="N421">
        <v>2.4308476689999998</v>
      </c>
      <c r="O421">
        <v>73</v>
      </c>
      <c r="P421">
        <v>-5</v>
      </c>
      <c r="Q421">
        <v>78</v>
      </c>
      <c r="R421">
        <v>-31499.5</v>
      </c>
      <c r="S421">
        <v>3015</v>
      </c>
      <c r="T421">
        <v>-547.5</v>
      </c>
      <c r="U421">
        <v>90</v>
      </c>
      <c r="V421" t="s">
        <v>35</v>
      </c>
      <c r="W421">
        <v>-31499.5</v>
      </c>
      <c r="X421">
        <v>3015</v>
      </c>
      <c r="Y421">
        <v>-457.5</v>
      </c>
      <c r="Z421">
        <v>2.8451397E-2</v>
      </c>
      <c r="AA421">
        <v>34514.5</v>
      </c>
      <c r="AB421">
        <v>0.01</v>
      </c>
      <c r="AC421">
        <v>-457.5</v>
      </c>
      <c r="AD421">
        <v>-1.3255298E-2</v>
      </c>
      <c r="AE421">
        <v>0</v>
      </c>
      <c r="AF421">
        <v>-457.5</v>
      </c>
      <c r="AG421">
        <v>0</v>
      </c>
      <c r="AH421">
        <f t="shared" si="6"/>
        <v>-1.3255298497732836E-2</v>
      </c>
    </row>
    <row r="422" spans="1:34" x14ac:dyDescent="0.25">
      <c r="A422" s="1">
        <v>44103</v>
      </c>
      <c r="B422">
        <v>431</v>
      </c>
      <c r="C422">
        <v>-1.1587489999999999E-3</v>
      </c>
      <c r="D422">
        <v>610</v>
      </c>
      <c r="E422">
        <v>1.1608624E-2</v>
      </c>
      <c r="F422">
        <v>-1.2767372000000001E-2</v>
      </c>
      <c r="G422">
        <v>1.2767372000000001E-2</v>
      </c>
      <c r="H422">
        <v>1.5289483E-2</v>
      </c>
      <c r="I422">
        <v>2.725195E-2</v>
      </c>
      <c r="J422">
        <v>0</v>
      </c>
      <c r="K422">
        <v>0</v>
      </c>
      <c r="L422">
        <v>0</v>
      </c>
      <c r="M422">
        <v>5</v>
      </c>
      <c r="N422">
        <v>14.17895057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W422">
        <v>0</v>
      </c>
      <c r="X422">
        <v>0</v>
      </c>
      <c r="Y422">
        <v>0</v>
      </c>
      <c r="Z422">
        <v>2.725195E-2</v>
      </c>
      <c r="AA422">
        <v>0</v>
      </c>
      <c r="AB422" t="s">
        <v>33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f t="shared" si="6"/>
        <v>0</v>
      </c>
    </row>
    <row r="423" spans="1:34" x14ac:dyDescent="0.25">
      <c r="A423" s="1">
        <v>44104</v>
      </c>
      <c r="B423">
        <v>433</v>
      </c>
      <c r="C423">
        <v>4.6403709999999999E-3</v>
      </c>
      <c r="D423">
        <v>607</v>
      </c>
      <c r="E423">
        <v>-4.9180329999999996E-3</v>
      </c>
      <c r="F423">
        <v>9.5584039999999995E-3</v>
      </c>
      <c r="G423">
        <v>9.5584039999999995E-3</v>
      </c>
      <c r="H423">
        <v>1.523104E-2</v>
      </c>
      <c r="I423">
        <v>2.4719848999999999E-2</v>
      </c>
      <c r="J423">
        <v>1</v>
      </c>
      <c r="K423">
        <v>0</v>
      </c>
      <c r="L423">
        <v>0</v>
      </c>
      <c r="M423">
        <v>5</v>
      </c>
      <c r="N423">
        <v>1.485728618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W423">
        <v>0</v>
      </c>
      <c r="X423">
        <v>0</v>
      </c>
      <c r="Y423">
        <v>0</v>
      </c>
      <c r="Z423">
        <v>2.4719848999999999E-2</v>
      </c>
      <c r="AA423">
        <v>0</v>
      </c>
      <c r="AB423" t="s">
        <v>33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f t="shared" si="6"/>
        <v>0</v>
      </c>
    </row>
    <row r="424" spans="1:34" x14ac:dyDescent="0.25">
      <c r="A424" s="1">
        <v>44109</v>
      </c>
      <c r="B424">
        <v>432.5</v>
      </c>
      <c r="C424">
        <v>-1.1547339999999999E-3</v>
      </c>
      <c r="D424">
        <v>611</v>
      </c>
      <c r="E424">
        <v>6.5897860000000003E-3</v>
      </c>
      <c r="F424">
        <v>-7.7445200000000004E-3</v>
      </c>
      <c r="G424">
        <v>7.7445200000000004E-3</v>
      </c>
      <c r="H424">
        <v>7.7864900000000001E-3</v>
      </c>
      <c r="I424">
        <v>2.0624867000000002E-2</v>
      </c>
      <c r="J424">
        <v>0</v>
      </c>
      <c r="K424">
        <v>0</v>
      </c>
      <c r="L424">
        <v>0</v>
      </c>
      <c r="M424">
        <v>5</v>
      </c>
      <c r="N424">
        <v>8.062027788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W424">
        <v>0</v>
      </c>
      <c r="X424">
        <v>0</v>
      </c>
      <c r="Y424">
        <v>0</v>
      </c>
      <c r="Z424">
        <v>2.0624867000000002E-2</v>
      </c>
      <c r="AA424">
        <v>0</v>
      </c>
      <c r="AB424" t="s">
        <v>33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f t="shared" si="6"/>
        <v>0</v>
      </c>
    </row>
    <row r="425" spans="1:34" x14ac:dyDescent="0.25">
      <c r="A425" s="1">
        <v>44110</v>
      </c>
      <c r="B425">
        <v>439.5</v>
      </c>
      <c r="C425">
        <v>1.6184970999999999E-2</v>
      </c>
      <c r="D425">
        <v>615</v>
      </c>
      <c r="E425">
        <v>6.5466450000000002E-3</v>
      </c>
      <c r="F425">
        <v>9.6383259999999991E-3</v>
      </c>
      <c r="G425">
        <v>9.6383259999999991E-3</v>
      </c>
      <c r="H425">
        <v>9.1781810000000005E-3</v>
      </c>
      <c r="I425">
        <v>1.3038217E-2</v>
      </c>
      <c r="J425">
        <v>1</v>
      </c>
      <c r="K425">
        <v>0</v>
      </c>
      <c r="L425">
        <v>0</v>
      </c>
      <c r="M425">
        <v>5</v>
      </c>
      <c r="N425">
        <v>0.56600867700000002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W425">
        <v>0</v>
      </c>
      <c r="X425">
        <v>0</v>
      </c>
      <c r="Y425">
        <v>0</v>
      </c>
      <c r="Z425">
        <v>1.3038217E-2</v>
      </c>
      <c r="AA425">
        <v>0</v>
      </c>
      <c r="AB425" t="s">
        <v>33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f t="shared" si="6"/>
        <v>0</v>
      </c>
    </row>
    <row r="426" spans="1:34" x14ac:dyDescent="0.25">
      <c r="A426" s="1">
        <v>44111</v>
      </c>
      <c r="B426">
        <v>443</v>
      </c>
      <c r="C426">
        <v>7.9635950000000004E-3</v>
      </c>
      <c r="D426">
        <v>647</v>
      </c>
      <c r="E426">
        <v>5.2032519999999999E-2</v>
      </c>
      <c r="F426">
        <v>-4.4068925000000002E-2</v>
      </c>
      <c r="G426">
        <v>4.4068925000000002E-2</v>
      </c>
      <c r="H426">
        <v>7.2351810000000003E-3</v>
      </c>
      <c r="I426">
        <v>2.1908078000000001E-2</v>
      </c>
      <c r="J426">
        <v>0</v>
      </c>
      <c r="K426">
        <v>1</v>
      </c>
      <c r="L426">
        <v>1</v>
      </c>
      <c r="M426">
        <v>5</v>
      </c>
      <c r="N426">
        <v>9.5425897230000007</v>
      </c>
      <c r="O426">
        <v>48</v>
      </c>
      <c r="P426">
        <v>-5</v>
      </c>
      <c r="Q426">
        <v>53</v>
      </c>
      <c r="R426">
        <v>-21264</v>
      </c>
      <c r="S426">
        <v>3235</v>
      </c>
      <c r="T426">
        <v>0</v>
      </c>
      <c r="U426">
        <v>0</v>
      </c>
      <c r="V426" t="s">
        <v>34</v>
      </c>
      <c r="W426">
        <v>-21264</v>
      </c>
      <c r="X426">
        <v>3235</v>
      </c>
      <c r="Y426">
        <v>0</v>
      </c>
      <c r="Z426">
        <v>2.1908078000000001E-2</v>
      </c>
      <c r="AA426">
        <v>24499</v>
      </c>
      <c r="AB426">
        <v>0.01</v>
      </c>
      <c r="AC426">
        <v>0</v>
      </c>
      <c r="AD426">
        <v>0</v>
      </c>
      <c r="AE426">
        <v>0</v>
      </c>
      <c r="AF426">
        <v>0</v>
      </c>
      <c r="AG426">
        <v>24499</v>
      </c>
      <c r="AH426">
        <f t="shared" si="6"/>
        <v>0</v>
      </c>
    </row>
    <row r="427" spans="1:34" x14ac:dyDescent="0.25">
      <c r="A427" s="1">
        <v>44112</v>
      </c>
      <c r="B427">
        <v>453</v>
      </c>
      <c r="C427">
        <v>2.2573362999999999E-2</v>
      </c>
      <c r="D427">
        <v>670</v>
      </c>
      <c r="E427">
        <v>3.5548686000000003E-2</v>
      </c>
      <c r="F427">
        <v>-1.2975323E-2</v>
      </c>
      <c r="G427">
        <v>1.2975323E-2</v>
      </c>
      <c r="H427">
        <v>9.4025979999999999E-3</v>
      </c>
      <c r="I427">
        <v>2.3696256999999998E-2</v>
      </c>
      <c r="J427">
        <v>0</v>
      </c>
      <c r="K427">
        <v>1</v>
      </c>
      <c r="L427">
        <v>0</v>
      </c>
      <c r="M427">
        <v>5</v>
      </c>
      <c r="N427">
        <v>2.3291844510000002</v>
      </c>
      <c r="O427">
        <v>-48</v>
      </c>
      <c r="P427">
        <v>5</v>
      </c>
      <c r="Q427">
        <v>53</v>
      </c>
      <c r="R427">
        <v>21744</v>
      </c>
      <c r="S427">
        <v>-3350</v>
      </c>
      <c r="T427">
        <v>480</v>
      </c>
      <c r="U427">
        <v>-115</v>
      </c>
      <c r="V427" t="s">
        <v>37</v>
      </c>
      <c r="W427">
        <v>0</v>
      </c>
      <c r="X427">
        <v>0</v>
      </c>
      <c r="Y427">
        <v>0</v>
      </c>
      <c r="Z427">
        <v>2.3696256999999998E-2</v>
      </c>
      <c r="AA427">
        <v>25094</v>
      </c>
      <c r="AB427">
        <v>0.01</v>
      </c>
      <c r="AC427">
        <v>365</v>
      </c>
      <c r="AD427">
        <v>1.4545310000000001E-2</v>
      </c>
      <c r="AE427">
        <v>0</v>
      </c>
      <c r="AF427">
        <v>0</v>
      </c>
      <c r="AG427">
        <v>0</v>
      </c>
      <c r="AH427">
        <f t="shared" si="6"/>
        <v>0</v>
      </c>
    </row>
    <row r="428" spans="1:34" x14ac:dyDescent="0.25">
      <c r="A428" s="1">
        <v>44116</v>
      </c>
      <c r="B428">
        <v>460</v>
      </c>
      <c r="C428">
        <v>1.5452539E-2</v>
      </c>
      <c r="D428">
        <v>714</v>
      </c>
      <c r="E428">
        <v>6.5671642000000002E-2</v>
      </c>
      <c r="F428">
        <v>-5.0219103000000001E-2</v>
      </c>
      <c r="G428">
        <v>5.0219103000000001E-2</v>
      </c>
      <c r="H428">
        <v>9.0879270000000009E-3</v>
      </c>
      <c r="I428">
        <v>2.6613259E-2</v>
      </c>
      <c r="J428">
        <v>0</v>
      </c>
      <c r="K428">
        <v>1</v>
      </c>
      <c r="L428">
        <v>0</v>
      </c>
      <c r="M428">
        <v>5</v>
      </c>
      <c r="N428">
        <v>6.5965736530000001</v>
      </c>
      <c r="O428">
        <v>-48</v>
      </c>
      <c r="P428">
        <v>5</v>
      </c>
      <c r="Q428">
        <v>53</v>
      </c>
      <c r="R428">
        <v>22080</v>
      </c>
      <c r="S428">
        <v>-3570</v>
      </c>
      <c r="T428">
        <v>816</v>
      </c>
      <c r="U428">
        <v>-335</v>
      </c>
      <c r="V428" t="s">
        <v>37</v>
      </c>
      <c r="W428">
        <v>0</v>
      </c>
      <c r="X428">
        <v>0</v>
      </c>
      <c r="Y428">
        <v>0</v>
      </c>
      <c r="Z428">
        <v>2.6613259E-2</v>
      </c>
      <c r="AA428">
        <v>25650</v>
      </c>
      <c r="AB428">
        <v>0.01</v>
      </c>
      <c r="AC428">
        <v>481</v>
      </c>
      <c r="AD428">
        <v>1.8752437E-2</v>
      </c>
      <c r="AE428">
        <v>0</v>
      </c>
      <c r="AF428">
        <v>0</v>
      </c>
      <c r="AG428">
        <v>0</v>
      </c>
      <c r="AH428">
        <f t="shared" si="6"/>
        <v>0</v>
      </c>
    </row>
    <row r="429" spans="1:34" x14ac:dyDescent="0.25">
      <c r="A429" s="1">
        <v>44117</v>
      </c>
      <c r="B429">
        <v>462</v>
      </c>
      <c r="C429">
        <v>4.3478259999999999E-3</v>
      </c>
      <c r="D429">
        <v>699</v>
      </c>
      <c r="E429">
        <v>-2.1008402999999998E-2</v>
      </c>
      <c r="F429">
        <v>2.5356229000000001E-2</v>
      </c>
      <c r="G429">
        <v>2.5356229000000001E-2</v>
      </c>
      <c r="H429">
        <v>7.2036499999999998E-3</v>
      </c>
      <c r="I429">
        <v>3.5055224000000003E-2</v>
      </c>
      <c r="J429">
        <v>1</v>
      </c>
      <c r="K429">
        <v>0</v>
      </c>
      <c r="L429">
        <v>-1</v>
      </c>
      <c r="M429">
        <v>5</v>
      </c>
      <c r="N429">
        <v>7.3106515329999997</v>
      </c>
      <c r="O429">
        <v>-48</v>
      </c>
      <c r="P429">
        <v>5</v>
      </c>
      <c r="Q429">
        <v>53</v>
      </c>
      <c r="R429">
        <v>22176</v>
      </c>
      <c r="S429">
        <v>-3495</v>
      </c>
      <c r="T429">
        <v>912</v>
      </c>
      <c r="U429">
        <v>-260</v>
      </c>
      <c r="V429" t="s">
        <v>35</v>
      </c>
      <c r="W429">
        <v>22176</v>
      </c>
      <c r="X429">
        <v>-3495</v>
      </c>
      <c r="Y429">
        <v>652</v>
      </c>
      <c r="Z429">
        <v>3.5055224000000003E-2</v>
      </c>
      <c r="AA429">
        <v>25671</v>
      </c>
      <c r="AB429">
        <v>0.01</v>
      </c>
      <c r="AC429">
        <v>652</v>
      </c>
      <c r="AD429">
        <v>2.5398309000000001E-2</v>
      </c>
      <c r="AE429">
        <v>0</v>
      </c>
      <c r="AF429">
        <v>652</v>
      </c>
      <c r="AG429">
        <v>0</v>
      </c>
      <c r="AH429">
        <f t="shared" si="6"/>
        <v>2.5398309376339058E-2</v>
      </c>
    </row>
    <row r="430" spans="1:34" x14ac:dyDescent="0.25">
      <c r="A430" s="1">
        <v>44118</v>
      </c>
      <c r="B430">
        <v>459</v>
      </c>
      <c r="C430">
        <v>-6.4935059999999996E-3</v>
      </c>
      <c r="D430">
        <v>689</v>
      </c>
      <c r="E430">
        <v>-1.4306152000000001E-2</v>
      </c>
      <c r="F430">
        <v>7.812645E-3</v>
      </c>
      <c r="G430">
        <v>7.812645E-3</v>
      </c>
      <c r="H430">
        <v>1.1049544E-2</v>
      </c>
      <c r="I430">
        <v>3.9204551999999997E-2</v>
      </c>
      <c r="J430">
        <v>1</v>
      </c>
      <c r="K430">
        <v>0</v>
      </c>
      <c r="L430">
        <v>0</v>
      </c>
      <c r="M430">
        <v>5</v>
      </c>
      <c r="N430">
        <v>3.307120973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W430">
        <v>0</v>
      </c>
      <c r="X430">
        <v>0</v>
      </c>
      <c r="Y430">
        <v>0</v>
      </c>
      <c r="Z430">
        <v>3.9204551999999997E-2</v>
      </c>
      <c r="AA430">
        <v>0</v>
      </c>
      <c r="AB430" t="s">
        <v>33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f t="shared" si="6"/>
        <v>0</v>
      </c>
    </row>
    <row r="431" spans="1:34" x14ac:dyDescent="0.25">
      <c r="A431" s="1">
        <v>44119</v>
      </c>
      <c r="B431">
        <v>453</v>
      </c>
      <c r="C431">
        <v>-1.3071895E-2</v>
      </c>
      <c r="D431">
        <v>689</v>
      </c>
      <c r="E431">
        <v>0</v>
      </c>
      <c r="F431">
        <v>-1.3071895E-2</v>
      </c>
      <c r="G431">
        <v>1.3071895E-2</v>
      </c>
      <c r="H431">
        <v>1.4800654E-2</v>
      </c>
      <c r="I431">
        <v>3.6584759000000001E-2</v>
      </c>
      <c r="J431">
        <v>0</v>
      </c>
      <c r="K431">
        <v>0</v>
      </c>
      <c r="L431">
        <v>0</v>
      </c>
      <c r="M431">
        <v>5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W431">
        <v>0</v>
      </c>
      <c r="X431">
        <v>0</v>
      </c>
      <c r="Y431">
        <v>0</v>
      </c>
      <c r="Z431">
        <v>3.6584759000000001E-2</v>
      </c>
      <c r="AA431">
        <v>0</v>
      </c>
      <c r="AB431" t="s">
        <v>33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f t="shared" si="6"/>
        <v>0</v>
      </c>
    </row>
    <row r="432" spans="1:34" x14ac:dyDescent="0.25">
      <c r="A432" s="1">
        <v>44120</v>
      </c>
      <c r="B432">
        <v>449</v>
      </c>
      <c r="C432">
        <v>-8.8300219999999999E-3</v>
      </c>
      <c r="D432">
        <v>680</v>
      </c>
      <c r="E432">
        <v>-1.3062409000000001E-2</v>
      </c>
      <c r="F432">
        <v>4.2323869999999998E-3</v>
      </c>
      <c r="G432">
        <v>4.2323869999999998E-3</v>
      </c>
      <c r="H432">
        <v>1.1553343000000001E-2</v>
      </c>
      <c r="I432">
        <v>3.5600523000000002E-2</v>
      </c>
      <c r="J432">
        <v>1</v>
      </c>
      <c r="K432">
        <v>0</v>
      </c>
      <c r="L432">
        <v>0</v>
      </c>
      <c r="M432">
        <v>5</v>
      </c>
      <c r="N432">
        <v>2.2403922920000001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W432">
        <v>0</v>
      </c>
      <c r="X432">
        <v>0</v>
      </c>
      <c r="Y432">
        <v>0</v>
      </c>
      <c r="Z432">
        <v>3.5600523000000002E-2</v>
      </c>
      <c r="AA432">
        <v>0</v>
      </c>
      <c r="AB432" t="s">
        <v>33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f t="shared" si="6"/>
        <v>0</v>
      </c>
    </row>
    <row r="433" spans="1:34" x14ac:dyDescent="0.25">
      <c r="A433" s="1">
        <v>44123</v>
      </c>
      <c r="B433">
        <v>457.5</v>
      </c>
      <c r="C433">
        <v>1.8930958000000001E-2</v>
      </c>
      <c r="D433">
        <v>692</v>
      </c>
      <c r="E433">
        <v>1.7647059E-2</v>
      </c>
      <c r="F433">
        <v>1.283899E-3</v>
      </c>
      <c r="G433">
        <v>1.283899E-3</v>
      </c>
      <c r="H433">
        <v>1.2874956999999999E-2</v>
      </c>
      <c r="I433">
        <v>1.5323175E-2</v>
      </c>
      <c r="J433">
        <v>1</v>
      </c>
      <c r="K433">
        <v>0</v>
      </c>
      <c r="L433">
        <v>0</v>
      </c>
      <c r="M433">
        <v>5</v>
      </c>
      <c r="N433">
        <v>1.4099858190000001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W433">
        <v>0</v>
      </c>
      <c r="X433">
        <v>0</v>
      </c>
      <c r="Y433">
        <v>0</v>
      </c>
      <c r="Z433">
        <v>1.5323175E-2</v>
      </c>
      <c r="AA433">
        <v>0</v>
      </c>
      <c r="AB433" t="s">
        <v>33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f t="shared" si="6"/>
        <v>0</v>
      </c>
    </row>
    <row r="434" spans="1:34" x14ac:dyDescent="0.25">
      <c r="A434" s="1">
        <v>44124</v>
      </c>
      <c r="B434">
        <v>451</v>
      </c>
      <c r="C434">
        <v>-1.420765E-2</v>
      </c>
      <c r="D434">
        <v>697</v>
      </c>
      <c r="E434">
        <v>7.2254340000000002E-3</v>
      </c>
      <c r="F434">
        <v>-2.1433084000000002E-2</v>
      </c>
      <c r="G434">
        <v>2.1433084000000002E-2</v>
      </c>
      <c r="H434">
        <v>1.3593878E-2</v>
      </c>
      <c r="I434">
        <v>1.3580059E-2</v>
      </c>
      <c r="J434">
        <v>0</v>
      </c>
      <c r="K434">
        <v>1</v>
      </c>
      <c r="L434">
        <v>1</v>
      </c>
      <c r="M434">
        <v>5</v>
      </c>
      <c r="N434">
        <v>0.78595537400000004</v>
      </c>
      <c r="O434">
        <v>4</v>
      </c>
      <c r="P434">
        <v>-5</v>
      </c>
      <c r="Q434">
        <v>9</v>
      </c>
      <c r="R434">
        <v>-1804</v>
      </c>
      <c r="S434">
        <v>3485</v>
      </c>
      <c r="T434">
        <v>0</v>
      </c>
      <c r="U434">
        <v>0</v>
      </c>
      <c r="V434" t="s">
        <v>34</v>
      </c>
      <c r="W434">
        <v>-1804</v>
      </c>
      <c r="X434">
        <v>3485</v>
      </c>
      <c r="Y434">
        <v>0</v>
      </c>
      <c r="Z434">
        <v>1.3593878E-2</v>
      </c>
      <c r="AA434">
        <v>5289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5289</v>
      </c>
      <c r="AH434">
        <f t="shared" si="6"/>
        <v>0</v>
      </c>
    </row>
    <row r="435" spans="1:34" x14ac:dyDescent="0.25">
      <c r="A435" s="1">
        <v>44125</v>
      </c>
      <c r="B435">
        <v>453</v>
      </c>
      <c r="C435">
        <v>4.4345900000000004E-3</v>
      </c>
      <c r="D435">
        <v>691</v>
      </c>
      <c r="E435">
        <v>-8.6083210000000004E-3</v>
      </c>
      <c r="F435">
        <v>1.3042911000000001E-2</v>
      </c>
      <c r="G435">
        <v>1.3042911000000001E-2</v>
      </c>
      <c r="H435">
        <v>1.4109091000000001E-2</v>
      </c>
      <c r="I435">
        <v>1.2311631E-2</v>
      </c>
      <c r="J435">
        <v>1</v>
      </c>
      <c r="K435">
        <v>0</v>
      </c>
      <c r="L435">
        <v>-1</v>
      </c>
      <c r="M435">
        <v>5</v>
      </c>
      <c r="N435">
        <v>2.9610440200000001</v>
      </c>
      <c r="O435">
        <v>-4</v>
      </c>
      <c r="P435">
        <v>5</v>
      </c>
      <c r="Q435">
        <v>9</v>
      </c>
      <c r="R435">
        <v>1812</v>
      </c>
      <c r="S435">
        <v>-3455</v>
      </c>
      <c r="T435">
        <v>8</v>
      </c>
      <c r="U435">
        <v>30</v>
      </c>
      <c r="V435" t="s">
        <v>35</v>
      </c>
      <c r="W435">
        <v>1812</v>
      </c>
      <c r="X435">
        <v>-3455</v>
      </c>
      <c r="Y435">
        <v>38</v>
      </c>
      <c r="Z435">
        <v>1.4109091000000001E-2</v>
      </c>
      <c r="AA435">
        <v>5267</v>
      </c>
      <c r="AB435">
        <v>0</v>
      </c>
      <c r="AC435">
        <v>38</v>
      </c>
      <c r="AD435">
        <v>7.2147330000000001E-3</v>
      </c>
      <c r="AE435">
        <v>0</v>
      </c>
      <c r="AF435">
        <v>38</v>
      </c>
      <c r="AG435">
        <v>0</v>
      </c>
      <c r="AH435">
        <f t="shared" si="6"/>
        <v>7.2147332447313464E-3</v>
      </c>
    </row>
    <row r="436" spans="1:34" x14ac:dyDescent="0.25">
      <c r="A436" s="1">
        <v>44126</v>
      </c>
      <c r="B436">
        <v>455</v>
      </c>
      <c r="C436">
        <v>4.4150109999999999E-3</v>
      </c>
      <c r="D436">
        <v>688</v>
      </c>
      <c r="E436">
        <v>-4.3415340000000002E-3</v>
      </c>
      <c r="F436">
        <v>8.7565449999999993E-3</v>
      </c>
      <c r="G436">
        <v>8.7565449999999993E-3</v>
      </c>
      <c r="H436">
        <v>1.2969837E-2</v>
      </c>
      <c r="I436">
        <v>1.2519429E-2</v>
      </c>
      <c r="J436">
        <v>1</v>
      </c>
      <c r="K436">
        <v>0</v>
      </c>
      <c r="L436">
        <v>0</v>
      </c>
      <c r="M436">
        <v>5</v>
      </c>
      <c r="N436">
        <v>1.4869229180000001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W436">
        <v>0</v>
      </c>
      <c r="X436">
        <v>0</v>
      </c>
      <c r="Y436">
        <v>0</v>
      </c>
      <c r="Z436">
        <v>1.2969837E-2</v>
      </c>
      <c r="AA436">
        <v>0</v>
      </c>
      <c r="AB436" t="s">
        <v>33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f t="shared" si="6"/>
        <v>0</v>
      </c>
    </row>
    <row r="437" spans="1:34" x14ac:dyDescent="0.25">
      <c r="A437" s="1">
        <v>44127</v>
      </c>
      <c r="B437">
        <v>452</v>
      </c>
      <c r="C437">
        <v>-6.5934069999999999E-3</v>
      </c>
      <c r="D437">
        <v>678</v>
      </c>
      <c r="E437">
        <v>-1.4534884E-2</v>
      </c>
      <c r="F437">
        <v>7.9414770000000006E-3</v>
      </c>
      <c r="G437">
        <v>7.9414770000000006E-3</v>
      </c>
      <c r="H437">
        <v>1.2581004999999999E-2</v>
      </c>
      <c r="I437">
        <v>1.2908096000000001E-2</v>
      </c>
      <c r="J437">
        <v>1</v>
      </c>
      <c r="K437">
        <v>0</v>
      </c>
      <c r="L437">
        <v>0</v>
      </c>
      <c r="M437">
        <v>5</v>
      </c>
      <c r="N437">
        <v>3.3066860469999999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W437">
        <v>0</v>
      </c>
      <c r="X437">
        <v>0</v>
      </c>
      <c r="Y437">
        <v>0</v>
      </c>
      <c r="Z437">
        <v>1.2908096000000001E-2</v>
      </c>
      <c r="AA437">
        <v>0</v>
      </c>
      <c r="AB437" t="s">
        <v>33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f t="shared" si="6"/>
        <v>0</v>
      </c>
    </row>
    <row r="438" spans="1:34" x14ac:dyDescent="0.25">
      <c r="A438" s="1">
        <v>44130</v>
      </c>
      <c r="B438">
        <v>450</v>
      </c>
      <c r="C438">
        <v>-4.4247790000000002E-3</v>
      </c>
      <c r="D438">
        <v>674</v>
      </c>
      <c r="E438">
        <v>-5.8997049999999999E-3</v>
      </c>
      <c r="F438">
        <v>1.4749260000000001E-3</v>
      </c>
      <c r="G438">
        <v>1.4749260000000001E-3</v>
      </c>
      <c r="H438">
        <v>7.9125010000000006E-3</v>
      </c>
      <c r="I438">
        <v>7.9744840000000004E-3</v>
      </c>
      <c r="J438">
        <v>1</v>
      </c>
      <c r="K438">
        <v>0</v>
      </c>
      <c r="L438">
        <v>0</v>
      </c>
      <c r="M438">
        <v>5</v>
      </c>
      <c r="N438">
        <v>1.9970370369999999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W438">
        <v>0</v>
      </c>
      <c r="X438">
        <v>0</v>
      </c>
      <c r="Y438">
        <v>0</v>
      </c>
      <c r="Z438">
        <v>7.9744840000000004E-3</v>
      </c>
      <c r="AA438">
        <v>0</v>
      </c>
      <c r="AB438" t="s">
        <v>33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f t="shared" si="6"/>
        <v>0</v>
      </c>
    </row>
    <row r="439" spans="1:34" x14ac:dyDescent="0.25">
      <c r="A439" s="1">
        <v>44131</v>
      </c>
      <c r="B439">
        <v>447</v>
      </c>
      <c r="C439">
        <v>-6.6666670000000003E-3</v>
      </c>
      <c r="D439">
        <v>685</v>
      </c>
      <c r="E439">
        <v>1.6320475000000001E-2</v>
      </c>
      <c r="F439">
        <v>-2.2987140999999999E-2</v>
      </c>
      <c r="G439">
        <v>2.2987140999999999E-2</v>
      </c>
      <c r="H439">
        <v>5.723672E-3</v>
      </c>
      <c r="I439">
        <v>1.1695550000000001E-2</v>
      </c>
      <c r="J439">
        <v>0</v>
      </c>
      <c r="K439">
        <v>1</v>
      </c>
      <c r="L439">
        <v>1</v>
      </c>
      <c r="M439">
        <v>5</v>
      </c>
      <c r="N439">
        <v>3.7515185309999999</v>
      </c>
      <c r="O439">
        <v>19</v>
      </c>
      <c r="P439">
        <v>-5</v>
      </c>
      <c r="Q439">
        <v>24</v>
      </c>
      <c r="R439">
        <v>-8493</v>
      </c>
      <c r="S439">
        <v>3425</v>
      </c>
      <c r="T439">
        <v>0</v>
      </c>
      <c r="U439">
        <v>0</v>
      </c>
      <c r="V439" t="s">
        <v>34</v>
      </c>
      <c r="W439">
        <v>-8493</v>
      </c>
      <c r="X439">
        <v>3425</v>
      </c>
      <c r="Y439">
        <v>0</v>
      </c>
      <c r="Z439">
        <v>1.1695550000000001E-2</v>
      </c>
      <c r="AA439">
        <v>11918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11918</v>
      </c>
      <c r="AH439">
        <f t="shared" si="6"/>
        <v>0</v>
      </c>
    </row>
    <row r="440" spans="1:34" x14ac:dyDescent="0.25">
      <c r="A440" s="1">
        <v>44132</v>
      </c>
      <c r="B440">
        <v>444</v>
      </c>
      <c r="C440">
        <v>-6.7114089999999998E-3</v>
      </c>
      <c r="D440">
        <v>681</v>
      </c>
      <c r="E440">
        <v>-5.8394160000000001E-3</v>
      </c>
      <c r="F440">
        <v>-8.7199300000000005E-4</v>
      </c>
      <c r="G440">
        <v>8.7199300000000005E-4</v>
      </c>
      <c r="H440">
        <v>4.8005569999999996E-3</v>
      </c>
      <c r="I440">
        <v>1.1451039E-2</v>
      </c>
      <c r="J440">
        <v>0</v>
      </c>
      <c r="K440">
        <v>1</v>
      </c>
      <c r="L440">
        <v>0</v>
      </c>
      <c r="M440">
        <v>5</v>
      </c>
      <c r="N440">
        <v>1.3345038469999999</v>
      </c>
      <c r="O440">
        <v>-19</v>
      </c>
      <c r="P440">
        <v>5</v>
      </c>
      <c r="Q440">
        <v>24</v>
      </c>
      <c r="R440">
        <v>8436</v>
      </c>
      <c r="S440">
        <v>-3405</v>
      </c>
      <c r="T440">
        <v>-57</v>
      </c>
      <c r="U440">
        <v>20</v>
      </c>
      <c r="V440" t="s">
        <v>37</v>
      </c>
      <c r="W440">
        <v>0</v>
      </c>
      <c r="X440">
        <v>0</v>
      </c>
      <c r="Y440">
        <v>0</v>
      </c>
      <c r="Z440">
        <v>1.1451039E-2</v>
      </c>
      <c r="AA440">
        <v>11841</v>
      </c>
      <c r="AB440">
        <v>0</v>
      </c>
      <c r="AC440">
        <v>-37</v>
      </c>
      <c r="AD440">
        <v>-3.1247359999999999E-3</v>
      </c>
      <c r="AE440">
        <v>0</v>
      </c>
      <c r="AF440">
        <v>0</v>
      </c>
      <c r="AG440">
        <v>0</v>
      </c>
      <c r="AH440">
        <f t="shared" si="6"/>
        <v>0</v>
      </c>
    </row>
    <row r="441" spans="1:34" x14ac:dyDescent="0.25">
      <c r="A441" s="1">
        <v>44133</v>
      </c>
      <c r="B441">
        <v>437</v>
      </c>
      <c r="C441">
        <v>-1.5765766000000001E-2</v>
      </c>
      <c r="D441">
        <v>684</v>
      </c>
      <c r="E441">
        <v>4.4052859999999996E-3</v>
      </c>
      <c r="F441">
        <v>-2.0171051999999998E-2</v>
      </c>
      <c r="G441">
        <v>2.0171051999999998E-2</v>
      </c>
      <c r="H441">
        <v>4.4300349999999997E-3</v>
      </c>
      <c r="I441">
        <v>1.1829793E-2</v>
      </c>
      <c r="J441">
        <v>0</v>
      </c>
      <c r="K441">
        <v>1</v>
      </c>
      <c r="L441">
        <v>0</v>
      </c>
      <c r="M441">
        <v>5</v>
      </c>
      <c r="N441">
        <v>0.43735463899999999</v>
      </c>
      <c r="O441">
        <v>-19</v>
      </c>
      <c r="P441">
        <v>5</v>
      </c>
      <c r="Q441">
        <v>24</v>
      </c>
      <c r="R441">
        <v>8303</v>
      </c>
      <c r="S441">
        <v>-3420</v>
      </c>
      <c r="T441">
        <v>-190</v>
      </c>
      <c r="U441">
        <v>5</v>
      </c>
      <c r="V441" t="s">
        <v>37</v>
      </c>
      <c r="W441">
        <v>0</v>
      </c>
      <c r="X441">
        <v>0</v>
      </c>
      <c r="Y441">
        <v>0</v>
      </c>
      <c r="Z441">
        <v>1.1829793E-2</v>
      </c>
      <c r="AA441">
        <v>11723</v>
      </c>
      <c r="AB441">
        <v>0</v>
      </c>
      <c r="AC441">
        <v>-185</v>
      </c>
      <c r="AD441">
        <v>-1.5780942999999999E-2</v>
      </c>
      <c r="AE441">
        <v>1</v>
      </c>
      <c r="AF441">
        <v>-185</v>
      </c>
      <c r="AG441">
        <v>0</v>
      </c>
      <c r="AH441">
        <f t="shared" si="6"/>
        <v>-1.5780943444510791E-2</v>
      </c>
    </row>
    <row r="442" spans="1:34" x14ac:dyDescent="0.25">
      <c r="A442" s="1">
        <v>44134</v>
      </c>
      <c r="B442">
        <v>432</v>
      </c>
      <c r="C442">
        <v>-1.1441648E-2</v>
      </c>
      <c r="D442">
        <v>678</v>
      </c>
      <c r="E442">
        <v>-8.7719300000000007E-3</v>
      </c>
      <c r="F442">
        <v>-2.6697180000000002E-3</v>
      </c>
      <c r="G442">
        <v>2.6697180000000002E-3</v>
      </c>
      <c r="H442">
        <v>4.5648640000000001E-3</v>
      </c>
      <c r="I442">
        <v>1.038758E-2</v>
      </c>
      <c r="J442">
        <v>0</v>
      </c>
      <c r="K442">
        <v>1</v>
      </c>
      <c r="L442">
        <v>0</v>
      </c>
      <c r="M442">
        <v>5</v>
      </c>
      <c r="N442">
        <v>1.2032407409999999</v>
      </c>
      <c r="O442">
        <v>-19</v>
      </c>
      <c r="P442">
        <v>5</v>
      </c>
      <c r="Q442">
        <v>24</v>
      </c>
      <c r="R442">
        <v>8208</v>
      </c>
      <c r="S442">
        <v>-3390</v>
      </c>
      <c r="T442">
        <v>-285</v>
      </c>
      <c r="U442">
        <v>35</v>
      </c>
      <c r="V442" t="s">
        <v>37</v>
      </c>
      <c r="W442">
        <v>0</v>
      </c>
      <c r="X442">
        <v>0</v>
      </c>
      <c r="Y442">
        <v>0</v>
      </c>
      <c r="Z442">
        <v>1.038758E-2</v>
      </c>
      <c r="AA442">
        <v>11598</v>
      </c>
      <c r="AB442">
        <v>0</v>
      </c>
      <c r="AC442">
        <v>-250</v>
      </c>
      <c r="AD442">
        <v>-2.1555441000000002E-2</v>
      </c>
      <c r="AE442">
        <v>1</v>
      </c>
      <c r="AF442">
        <v>0</v>
      </c>
      <c r="AG442">
        <v>0</v>
      </c>
      <c r="AH442">
        <f t="shared" si="6"/>
        <v>0</v>
      </c>
    </row>
    <row r="443" spans="1:34" x14ac:dyDescent="0.25">
      <c r="A443" s="1">
        <v>44137</v>
      </c>
      <c r="B443">
        <v>435.5</v>
      </c>
      <c r="C443">
        <v>8.1018519999999997E-3</v>
      </c>
      <c r="D443">
        <v>653</v>
      </c>
      <c r="E443">
        <v>-3.6873155999999997E-2</v>
      </c>
      <c r="F443">
        <v>4.4975007999999997E-2</v>
      </c>
      <c r="G443">
        <v>4.4975007999999997E-2</v>
      </c>
      <c r="H443">
        <v>8.9938980000000002E-3</v>
      </c>
      <c r="I443">
        <v>1.9794062000000001E-2</v>
      </c>
      <c r="J443">
        <v>1</v>
      </c>
      <c r="K443">
        <v>0</v>
      </c>
      <c r="L443">
        <v>-1</v>
      </c>
      <c r="M443">
        <v>5</v>
      </c>
      <c r="N443">
        <v>6.824188887</v>
      </c>
      <c r="O443">
        <v>-19</v>
      </c>
      <c r="P443">
        <v>5</v>
      </c>
      <c r="Q443">
        <v>24</v>
      </c>
      <c r="R443">
        <v>8274.5</v>
      </c>
      <c r="S443">
        <v>-3265</v>
      </c>
      <c r="T443">
        <v>-218.5</v>
      </c>
      <c r="U443">
        <v>160</v>
      </c>
      <c r="V443" t="s">
        <v>35</v>
      </c>
      <c r="W443">
        <v>8274.5</v>
      </c>
      <c r="X443">
        <v>-3265</v>
      </c>
      <c r="Y443">
        <v>-58.5</v>
      </c>
      <c r="Z443">
        <v>1.9794062000000001E-2</v>
      </c>
      <c r="AA443">
        <v>11539.5</v>
      </c>
      <c r="AB443">
        <v>0</v>
      </c>
      <c r="AC443">
        <v>-58.5</v>
      </c>
      <c r="AD443">
        <v>-5.0695439999999996E-3</v>
      </c>
      <c r="AE443">
        <v>0</v>
      </c>
      <c r="AF443">
        <v>0</v>
      </c>
      <c r="AG443">
        <v>0</v>
      </c>
      <c r="AH443">
        <f t="shared" si="6"/>
        <v>0</v>
      </c>
    </row>
    <row r="444" spans="1:34" x14ac:dyDescent="0.25">
      <c r="A444" s="1">
        <v>44138</v>
      </c>
      <c r="B444">
        <v>441</v>
      </c>
      <c r="C444">
        <v>1.2629161999999999E-2</v>
      </c>
      <c r="D444">
        <v>665</v>
      </c>
      <c r="E444">
        <v>1.8376723000000001E-2</v>
      </c>
      <c r="F444">
        <v>-5.747561E-3</v>
      </c>
      <c r="G444">
        <v>5.747561E-3</v>
      </c>
      <c r="H444">
        <v>1.2398243E-2</v>
      </c>
      <c r="I444">
        <v>2.0390064999999999E-2</v>
      </c>
      <c r="J444">
        <v>0</v>
      </c>
      <c r="K444">
        <v>0</v>
      </c>
      <c r="L444">
        <v>0</v>
      </c>
      <c r="M444">
        <v>5</v>
      </c>
      <c r="N444">
        <v>2.1942019190000002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W444">
        <v>0</v>
      </c>
      <c r="X444">
        <v>0</v>
      </c>
      <c r="Y444">
        <v>0</v>
      </c>
      <c r="Z444">
        <v>2.0390064999999999E-2</v>
      </c>
      <c r="AA444">
        <v>0</v>
      </c>
      <c r="AB444" t="s">
        <v>33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f t="shared" si="6"/>
        <v>0</v>
      </c>
    </row>
    <row r="445" spans="1:34" x14ac:dyDescent="0.25">
      <c r="A445" s="1">
        <v>44139</v>
      </c>
      <c r="B445">
        <v>450</v>
      </c>
      <c r="C445">
        <v>2.0408163E-2</v>
      </c>
      <c r="D445">
        <v>677</v>
      </c>
      <c r="E445">
        <v>1.8045113000000002E-2</v>
      </c>
      <c r="F445">
        <v>2.3630499999999998E-3</v>
      </c>
      <c r="G445">
        <v>2.3630499999999998E-3</v>
      </c>
      <c r="H445">
        <v>1.5670679E-2</v>
      </c>
      <c r="I445">
        <v>2.2992773000000001E-2</v>
      </c>
      <c r="J445">
        <v>1</v>
      </c>
      <c r="K445">
        <v>0</v>
      </c>
      <c r="L445">
        <v>0</v>
      </c>
      <c r="M445">
        <v>5</v>
      </c>
      <c r="N445">
        <v>1.3302456140000001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W445">
        <v>0</v>
      </c>
      <c r="X445">
        <v>0</v>
      </c>
      <c r="Y445">
        <v>0</v>
      </c>
      <c r="Z445">
        <v>2.2992773000000001E-2</v>
      </c>
      <c r="AA445">
        <v>0</v>
      </c>
      <c r="AB445" t="s">
        <v>33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f t="shared" si="6"/>
        <v>0</v>
      </c>
    </row>
    <row r="446" spans="1:34" x14ac:dyDescent="0.25">
      <c r="A446" s="1">
        <v>44140</v>
      </c>
      <c r="B446">
        <v>451</v>
      </c>
      <c r="C446">
        <v>2.2222219999999998E-3</v>
      </c>
      <c r="D446">
        <v>696</v>
      </c>
      <c r="E446">
        <v>2.8064993E-2</v>
      </c>
      <c r="F446">
        <v>-2.5842770000000001E-2</v>
      </c>
      <c r="G446">
        <v>2.5842770000000001E-2</v>
      </c>
      <c r="H446">
        <v>1.1976063E-2</v>
      </c>
      <c r="I446">
        <v>2.653558E-2</v>
      </c>
      <c r="J446">
        <v>0</v>
      </c>
      <c r="K446">
        <v>0</v>
      </c>
      <c r="L446">
        <v>0</v>
      </c>
      <c r="M446">
        <v>5</v>
      </c>
      <c r="N446">
        <v>19.489923919999999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W446">
        <v>0</v>
      </c>
      <c r="X446">
        <v>0</v>
      </c>
      <c r="Y446">
        <v>0</v>
      </c>
      <c r="Z446">
        <v>2.653558E-2</v>
      </c>
      <c r="AA446">
        <v>0</v>
      </c>
      <c r="AB446" t="s">
        <v>33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f t="shared" si="6"/>
        <v>0</v>
      </c>
    </row>
    <row r="447" spans="1:34" x14ac:dyDescent="0.25">
      <c r="A447" s="1">
        <v>44141</v>
      </c>
      <c r="B447">
        <v>452.5</v>
      </c>
      <c r="C447">
        <v>3.3259420000000001E-3</v>
      </c>
      <c r="D447">
        <v>700</v>
      </c>
      <c r="E447">
        <v>5.747126E-3</v>
      </c>
      <c r="F447">
        <v>-2.4211839999999998E-3</v>
      </c>
      <c r="G447">
        <v>2.4211839999999998E-3</v>
      </c>
      <c r="H447">
        <v>7.4445860000000004E-3</v>
      </c>
      <c r="I447">
        <v>2.5598068000000002E-2</v>
      </c>
      <c r="J447">
        <v>0</v>
      </c>
      <c r="K447">
        <v>0</v>
      </c>
      <c r="L447">
        <v>0</v>
      </c>
      <c r="M447">
        <v>5</v>
      </c>
      <c r="N447">
        <v>2.6731017549999998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W447">
        <v>0</v>
      </c>
      <c r="X447">
        <v>0</v>
      </c>
      <c r="Y447">
        <v>0</v>
      </c>
      <c r="Z447">
        <v>2.5598068000000002E-2</v>
      </c>
      <c r="AA447">
        <v>0</v>
      </c>
      <c r="AB447" t="s">
        <v>33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f t="shared" si="6"/>
        <v>0</v>
      </c>
    </row>
    <row r="448" spans="1:34" x14ac:dyDescent="0.25">
      <c r="A448" s="1">
        <v>44144</v>
      </c>
      <c r="B448">
        <v>458.5</v>
      </c>
      <c r="C448">
        <v>1.3259669E-2</v>
      </c>
      <c r="D448">
        <v>702</v>
      </c>
      <c r="E448">
        <v>2.8571429999999999E-3</v>
      </c>
      <c r="F448">
        <v>1.0402526E-2</v>
      </c>
      <c r="G448">
        <v>1.0402526E-2</v>
      </c>
      <c r="H448">
        <v>7.5865630000000002E-3</v>
      </c>
      <c r="I448">
        <v>1.0292045999999999E-2</v>
      </c>
      <c r="J448">
        <v>1</v>
      </c>
      <c r="K448">
        <v>1</v>
      </c>
      <c r="L448">
        <v>1</v>
      </c>
      <c r="M448">
        <v>5</v>
      </c>
      <c r="N448">
        <v>0.32991120099999999</v>
      </c>
      <c r="O448">
        <v>-2</v>
      </c>
      <c r="P448">
        <v>5</v>
      </c>
      <c r="Q448">
        <v>7</v>
      </c>
      <c r="R448">
        <v>917</v>
      </c>
      <c r="S448">
        <v>-3510</v>
      </c>
      <c r="T448">
        <v>0</v>
      </c>
      <c r="U448">
        <v>0</v>
      </c>
      <c r="V448" t="s">
        <v>34</v>
      </c>
      <c r="W448">
        <v>917</v>
      </c>
      <c r="X448">
        <v>-3510</v>
      </c>
      <c r="Y448">
        <v>0</v>
      </c>
      <c r="Z448">
        <v>1.0292045999999999E-2</v>
      </c>
      <c r="AA448">
        <v>4427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4427</v>
      </c>
      <c r="AH448">
        <f t="shared" si="6"/>
        <v>0</v>
      </c>
    </row>
    <row r="449" spans="1:34" x14ac:dyDescent="0.25">
      <c r="A449" s="1">
        <v>44145</v>
      </c>
      <c r="B449">
        <v>451</v>
      </c>
      <c r="C449">
        <v>-1.6357687999999999E-2</v>
      </c>
      <c r="D449">
        <v>686</v>
      </c>
      <c r="E449">
        <v>-2.2792023000000002E-2</v>
      </c>
      <c r="F449">
        <v>6.4343350000000002E-3</v>
      </c>
      <c r="G449">
        <v>6.4343350000000002E-3</v>
      </c>
      <c r="H449">
        <v>1.3886915E-2</v>
      </c>
      <c r="I449">
        <v>1.9171147999999999E-2</v>
      </c>
      <c r="J449">
        <v>1</v>
      </c>
      <c r="K449">
        <v>1</v>
      </c>
      <c r="L449">
        <v>0</v>
      </c>
      <c r="M449">
        <v>5</v>
      </c>
      <c r="N449">
        <v>2.1193784839999998</v>
      </c>
      <c r="O449">
        <v>2</v>
      </c>
      <c r="P449">
        <v>-5</v>
      </c>
      <c r="Q449">
        <v>7</v>
      </c>
      <c r="R449">
        <v>-902</v>
      </c>
      <c r="S449">
        <v>3430</v>
      </c>
      <c r="T449">
        <v>15</v>
      </c>
      <c r="U449">
        <v>-80</v>
      </c>
      <c r="V449" t="s">
        <v>37</v>
      </c>
      <c r="W449">
        <v>0</v>
      </c>
      <c r="X449">
        <v>0</v>
      </c>
      <c r="Y449">
        <v>0</v>
      </c>
      <c r="Z449">
        <v>1.9171147999999999E-2</v>
      </c>
      <c r="AA449">
        <v>4332</v>
      </c>
      <c r="AB449">
        <v>0</v>
      </c>
      <c r="AC449">
        <v>-65</v>
      </c>
      <c r="AD449">
        <v>-1.5004617E-2</v>
      </c>
      <c r="AE449">
        <v>0</v>
      </c>
      <c r="AF449">
        <v>0</v>
      </c>
      <c r="AG449">
        <v>0</v>
      </c>
      <c r="AH449">
        <f t="shared" si="6"/>
        <v>0</v>
      </c>
    </row>
    <row r="450" spans="1:34" x14ac:dyDescent="0.25">
      <c r="A450" s="1">
        <v>44146</v>
      </c>
      <c r="B450">
        <v>457</v>
      </c>
      <c r="C450">
        <v>1.3303769E-2</v>
      </c>
      <c r="D450">
        <v>676</v>
      </c>
      <c r="E450">
        <v>-1.4577259E-2</v>
      </c>
      <c r="F450">
        <v>2.7881029000000002E-2</v>
      </c>
      <c r="G450">
        <v>2.7881029000000002E-2</v>
      </c>
      <c r="H450">
        <v>1.2111421000000001E-2</v>
      </c>
      <c r="I450">
        <v>1.975292E-2</v>
      </c>
      <c r="J450">
        <v>1</v>
      </c>
      <c r="K450">
        <v>1</v>
      </c>
      <c r="L450">
        <v>0</v>
      </c>
      <c r="M450">
        <v>5</v>
      </c>
      <c r="N450">
        <v>1.620808373</v>
      </c>
      <c r="O450">
        <v>2</v>
      </c>
      <c r="P450">
        <v>-5</v>
      </c>
      <c r="Q450">
        <v>7</v>
      </c>
      <c r="R450">
        <v>-914</v>
      </c>
      <c r="S450">
        <v>3380</v>
      </c>
      <c r="T450">
        <v>3</v>
      </c>
      <c r="U450">
        <v>-130</v>
      </c>
      <c r="V450" t="s">
        <v>37</v>
      </c>
      <c r="W450">
        <v>0</v>
      </c>
      <c r="X450">
        <v>0</v>
      </c>
      <c r="Y450">
        <v>0</v>
      </c>
      <c r="Z450">
        <v>1.975292E-2</v>
      </c>
      <c r="AA450">
        <v>4294</v>
      </c>
      <c r="AB450">
        <v>0</v>
      </c>
      <c r="AC450">
        <v>-127</v>
      </c>
      <c r="AD450">
        <v>-2.9576153000000001E-2</v>
      </c>
      <c r="AE450">
        <v>1</v>
      </c>
      <c r="AF450">
        <v>-127</v>
      </c>
      <c r="AG450">
        <v>0</v>
      </c>
      <c r="AH450">
        <f t="shared" si="6"/>
        <v>-2.9576152771308803E-2</v>
      </c>
    </row>
    <row r="451" spans="1:34" x14ac:dyDescent="0.25">
      <c r="A451" s="1">
        <v>44147</v>
      </c>
      <c r="B451">
        <v>458</v>
      </c>
      <c r="C451">
        <v>2.1881840000000001E-3</v>
      </c>
      <c r="D451">
        <v>673</v>
      </c>
      <c r="E451">
        <v>-4.43787E-3</v>
      </c>
      <c r="F451">
        <v>6.6260540000000001E-3</v>
      </c>
      <c r="G451">
        <v>6.6260540000000001E-3</v>
      </c>
      <c r="H451">
        <v>1.2112082999999999E-2</v>
      </c>
      <c r="I451">
        <v>1.1962169E-2</v>
      </c>
      <c r="J451">
        <v>1</v>
      </c>
      <c r="K451">
        <v>1</v>
      </c>
      <c r="L451">
        <v>0</v>
      </c>
      <c r="M451">
        <v>5</v>
      </c>
      <c r="N451">
        <v>2.9801652409999999</v>
      </c>
      <c r="O451">
        <v>2</v>
      </c>
      <c r="P451">
        <v>-5</v>
      </c>
      <c r="Q451">
        <v>7</v>
      </c>
      <c r="R451">
        <v>-916</v>
      </c>
      <c r="S451">
        <v>3365</v>
      </c>
      <c r="T451">
        <v>1</v>
      </c>
      <c r="U451">
        <v>-145</v>
      </c>
      <c r="V451" t="s">
        <v>37</v>
      </c>
      <c r="W451">
        <v>0</v>
      </c>
      <c r="X451">
        <v>0</v>
      </c>
      <c r="Y451">
        <v>0</v>
      </c>
      <c r="Z451">
        <v>1.2112082999999999E-2</v>
      </c>
      <c r="AA451">
        <v>4281</v>
      </c>
      <c r="AB451">
        <v>0</v>
      </c>
      <c r="AC451">
        <v>-144</v>
      </c>
      <c r="AD451">
        <v>-3.3637001E-2</v>
      </c>
      <c r="AE451">
        <v>1</v>
      </c>
      <c r="AF451">
        <v>0</v>
      </c>
      <c r="AG451">
        <v>0</v>
      </c>
      <c r="AH451">
        <f t="shared" ref="AH451:AH514" si="7">IF(AF451&lt;&gt;0,AF451/AA451,0)</f>
        <v>0</v>
      </c>
    </row>
    <row r="452" spans="1:34" x14ac:dyDescent="0.25">
      <c r="A452" s="1">
        <v>44148</v>
      </c>
      <c r="B452">
        <v>462</v>
      </c>
      <c r="C452">
        <v>8.7336240000000006E-3</v>
      </c>
      <c r="D452">
        <v>675</v>
      </c>
      <c r="E452">
        <v>2.9717680000000001E-3</v>
      </c>
      <c r="F452">
        <v>5.7618560000000001E-3</v>
      </c>
      <c r="G452">
        <v>5.7618560000000001E-3</v>
      </c>
      <c r="H452">
        <v>1.2371062E-2</v>
      </c>
      <c r="I452">
        <v>1.1289103E-2</v>
      </c>
      <c r="J452">
        <v>1</v>
      </c>
      <c r="K452">
        <v>1</v>
      </c>
      <c r="L452">
        <v>0</v>
      </c>
      <c r="M452">
        <v>5</v>
      </c>
      <c r="N452">
        <v>0.49714401499999999</v>
      </c>
      <c r="O452">
        <v>2</v>
      </c>
      <c r="P452">
        <v>-5</v>
      </c>
      <c r="Q452">
        <v>7</v>
      </c>
      <c r="R452">
        <v>-924</v>
      </c>
      <c r="S452">
        <v>3375</v>
      </c>
      <c r="T452">
        <v>-7</v>
      </c>
      <c r="U452">
        <v>-135</v>
      </c>
      <c r="V452" t="s">
        <v>37</v>
      </c>
      <c r="W452">
        <v>0</v>
      </c>
      <c r="X452">
        <v>0</v>
      </c>
      <c r="Y452">
        <v>0</v>
      </c>
      <c r="Z452">
        <v>1.2371062E-2</v>
      </c>
      <c r="AA452">
        <v>4299</v>
      </c>
      <c r="AB452">
        <v>0</v>
      </c>
      <c r="AC452">
        <v>-142</v>
      </c>
      <c r="AD452">
        <v>-3.3030937000000003E-2</v>
      </c>
      <c r="AE452">
        <v>1</v>
      </c>
      <c r="AF452">
        <v>0</v>
      </c>
      <c r="AG452">
        <v>0</v>
      </c>
      <c r="AH452">
        <f t="shared" si="7"/>
        <v>0</v>
      </c>
    </row>
    <row r="453" spans="1:34" x14ac:dyDescent="0.25">
      <c r="A453" s="1">
        <v>44151</v>
      </c>
      <c r="B453">
        <v>484</v>
      </c>
      <c r="C453">
        <v>4.7619047999999997E-2</v>
      </c>
      <c r="D453">
        <v>694</v>
      </c>
      <c r="E453">
        <v>2.8148148000000001E-2</v>
      </c>
      <c r="F453">
        <v>1.9470899E-2</v>
      </c>
      <c r="G453">
        <v>1.9470899E-2</v>
      </c>
      <c r="H453">
        <v>2.3331536E-2</v>
      </c>
      <c r="I453">
        <v>1.9557438999999999E-2</v>
      </c>
      <c r="J453">
        <v>1</v>
      </c>
      <c r="K453">
        <v>1</v>
      </c>
      <c r="L453">
        <v>0</v>
      </c>
      <c r="M453">
        <v>5</v>
      </c>
      <c r="N453">
        <v>0.84758493999999995</v>
      </c>
      <c r="O453">
        <v>2</v>
      </c>
      <c r="P453">
        <v>-5</v>
      </c>
      <c r="Q453">
        <v>7</v>
      </c>
      <c r="R453">
        <v>-968</v>
      </c>
      <c r="S453">
        <v>3470</v>
      </c>
      <c r="T453">
        <v>-51</v>
      </c>
      <c r="U453">
        <v>-40</v>
      </c>
      <c r="V453" t="s">
        <v>37</v>
      </c>
      <c r="W453">
        <v>0</v>
      </c>
      <c r="X453">
        <v>0</v>
      </c>
      <c r="Y453">
        <v>0</v>
      </c>
      <c r="Z453">
        <v>2.3331536E-2</v>
      </c>
      <c r="AA453">
        <v>4438</v>
      </c>
      <c r="AB453">
        <v>0</v>
      </c>
      <c r="AC453">
        <v>-91</v>
      </c>
      <c r="AD453">
        <v>-2.0504732000000001E-2</v>
      </c>
      <c r="AE453">
        <v>0</v>
      </c>
      <c r="AF453">
        <v>0</v>
      </c>
      <c r="AG453">
        <v>0</v>
      </c>
      <c r="AH453">
        <f t="shared" si="7"/>
        <v>0</v>
      </c>
    </row>
    <row r="454" spans="1:34" x14ac:dyDescent="0.25">
      <c r="A454" s="1">
        <v>44152</v>
      </c>
      <c r="B454">
        <v>485.5</v>
      </c>
      <c r="C454">
        <v>3.0991740000000001E-3</v>
      </c>
      <c r="D454">
        <v>696</v>
      </c>
      <c r="E454">
        <v>2.8818440000000002E-3</v>
      </c>
      <c r="F454">
        <v>2.1732899999999999E-4</v>
      </c>
      <c r="G454">
        <v>2.1732899999999999E-4</v>
      </c>
      <c r="H454">
        <v>1.8787753000000001E-2</v>
      </c>
      <c r="I454">
        <v>1.5785483999999999E-2</v>
      </c>
      <c r="J454">
        <v>1</v>
      </c>
      <c r="K454">
        <v>1</v>
      </c>
      <c r="L454">
        <v>0</v>
      </c>
      <c r="M454">
        <v>5</v>
      </c>
      <c r="N454">
        <v>1.3330444560000001</v>
      </c>
      <c r="O454">
        <v>2</v>
      </c>
      <c r="P454">
        <v>-5</v>
      </c>
      <c r="Q454">
        <v>7</v>
      </c>
      <c r="R454">
        <v>-971</v>
      </c>
      <c r="S454">
        <v>3480</v>
      </c>
      <c r="T454">
        <v>-54</v>
      </c>
      <c r="U454">
        <v>-30</v>
      </c>
      <c r="V454" t="s">
        <v>37</v>
      </c>
      <c r="W454">
        <v>0</v>
      </c>
      <c r="X454">
        <v>0</v>
      </c>
      <c r="Y454">
        <v>0</v>
      </c>
      <c r="Z454">
        <v>1.8787753000000001E-2</v>
      </c>
      <c r="AA454">
        <v>4451</v>
      </c>
      <c r="AB454">
        <v>0</v>
      </c>
      <c r="AC454">
        <v>-84</v>
      </c>
      <c r="AD454">
        <v>-1.8872164E-2</v>
      </c>
      <c r="AE454">
        <v>1</v>
      </c>
      <c r="AF454">
        <v>0</v>
      </c>
      <c r="AG454">
        <v>0</v>
      </c>
      <c r="AH454">
        <f t="shared" si="7"/>
        <v>0</v>
      </c>
    </row>
    <row r="455" spans="1:34" x14ac:dyDescent="0.25">
      <c r="A455" s="1">
        <v>44153</v>
      </c>
      <c r="B455">
        <v>497</v>
      </c>
      <c r="C455">
        <v>2.3686921E-2</v>
      </c>
      <c r="D455">
        <v>728</v>
      </c>
      <c r="E455">
        <v>4.5977010999999998E-2</v>
      </c>
      <c r="F455">
        <v>-2.2290091000000001E-2</v>
      </c>
      <c r="G455">
        <v>2.2290091000000001E-2</v>
      </c>
      <c r="H455">
        <v>1.9125738E-2</v>
      </c>
      <c r="I455">
        <v>2.1223509000000002E-2</v>
      </c>
      <c r="J455">
        <v>0</v>
      </c>
      <c r="K455">
        <v>0</v>
      </c>
      <c r="L455">
        <v>-1</v>
      </c>
      <c r="M455">
        <v>5</v>
      </c>
      <c r="N455">
        <v>2.8431981190000002</v>
      </c>
      <c r="O455">
        <v>2</v>
      </c>
      <c r="P455">
        <v>-5</v>
      </c>
      <c r="Q455">
        <v>7</v>
      </c>
      <c r="R455">
        <v>-994</v>
      </c>
      <c r="S455">
        <v>3640</v>
      </c>
      <c r="T455">
        <v>-77</v>
      </c>
      <c r="U455">
        <v>130</v>
      </c>
      <c r="V455" t="s">
        <v>35</v>
      </c>
      <c r="W455">
        <v>-994</v>
      </c>
      <c r="X455">
        <v>3640</v>
      </c>
      <c r="Y455">
        <v>53</v>
      </c>
      <c r="Z455">
        <v>2.1223509000000002E-2</v>
      </c>
      <c r="AA455">
        <v>4634</v>
      </c>
      <c r="AB455">
        <v>0</v>
      </c>
      <c r="AC455">
        <v>53</v>
      </c>
      <c r="AD455">
        <v>1.1437203E-2</v>
      </c>
      <c r="AE455">
        <v>0</v>
      </c>
      <c r="AF455">
        <v>0</v>
      </c>
      <c r="AG455">
        <v>0</v>
      </c>
      <c r="AH455">
        <f t="shared" si="7"/>
        <v>0</v>
      </c>
    </row>
    <row r="456" spans="1:34" x14ac:dyDescent="0.25">
      <c r="A456" s="1">
        <v>44154</v>
      </c>
      <c r="B456">
        <v>490</v>
      </c>
      <c r="C456">
        <v>-1.4084507E-2</v>
      </c>
      <c r="D456">
        <v>733</v>
      </c>
      <c r="E456">
        <v>6.8681319999999999E-3</v>
      </c>
      <c r="F456">
        <v>-2.0952638999999999E-2</v>
      </c>
      <c r="G456">
        <v>2.0952638999999999E-2</v>
      </c>
      <c r="H456">
        <v>2.3233597000000002E-2</v>
      </c>
      <c r="I456">
        <v>1.9118280000000001E-2</v>
      </c>
      <c r="J456">
        <v>0</v>
      </c>
      <c r="K456">
        <v>0</v>
      </c>
      <c r="L456">
        <v>0</v>
      </c>
      <c r="M456">
        <v>5</v>
      </c>
      <c r="N456">
        <v>0.72946568700000003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W456">
        <v>0</v>
      </c>
      <c r="X456">
        <v>0</v>
      </c>
      <c r="Y456">
        <v>0</v>
      </c>
      <c r="Z456">
        <v>2.3233597000000002E-2</v>
      </c>
      <c r="AA456">
        <v>0</v>
      </c>
      <c r="AB456" t="s">
        <v>33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f t="shared" si="7"/>
        <v>0</v>
      </c>
    </row>
    <row r="457" spans="1:34" x14ac:dyDescent="0.25">
      <c r="A457" s="1">
        <v>44155</v>
      </c>
      <c r="B457">
        <v>488</v>
      </c>
      <c r="C457">
        <v>-4.0816330000000003E-3</v>
      </c>
      <c r="D457">
        <v>747</v>
      </c>
      <c r="E457">
        <v>1.9099590999999999E-2</v>
      </c>
      <c r="F457">
        <v>-2.3181223000000001E-2</v>
      </c>
      <c r="G457">
        <v>2.3181223000000001E-2</v>
      </c>
      <c r="H457">
        <v>2.460039E-2</v>
      </c>
      <c r="I457">
        <v>1.7361708E-2</v>
      </c>
      <c r="J457">
        <v>0</v>
      </c>
      <c r="K457">
        <v>0</v>
      </c>
      <c r="L457">
        <v>0</v>
      </c>
      <c r="M457">
        <v>5</v>
      </c>
      <c r="N457">
        <v>7.1629335989999996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W457">
        <v>0</v>
      </c>
      <c r="X457">
        <v>0</v>
      </c>
      <c r="Y457">
        <v>0</v>
      </c>
      <c r="Z457">
        <v>2.460039E-2</v>
      </c>
      <c r="AA457">
        <v>0</v>
      </c>
      <c r="AB457" t="s">
        <v>33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f t="shared" si="7"/>
        <v>0</v>
      </c>
    </row>
    <row r="458" spans="1:34" x14ac:dyDescent="0.25">
      <c r="A458" s="1">
        <v>44158</v>
      </c>
      <c r="B458">
        <v>496.5</v>
      </c>
      <c r="C458">
        <v>1.7418032999999999E-2</v>
      </c>
      <c r="D458">
        <v>743</v>
      </c>
      <c r="E458">
        <v>-5.3547519999999999E-3</v>
      </c>
      <c r="F458">
        <v>2.2772785E-2</v>
      </c>
      <c r="G458">
        <v>2.2772785E-2</v>
      </c>
      <c r="H458">
        <v>1.5439403000000001E-2</v>
      </c>
      <c r="I458">
        <v>1.9984761E-2</v>
      </c>
      <c r="J458">
        <v>1</v>
      </c>
      <c r="K458">
        <v>1</v>
      </c>
      <c r="L458">
        <v>1</v>
      </c>
      <c r="M458">
        <v>5</v>
      </c>
      <c r="N458">
        <v>0.46005509700000002</v>
      </c>
      <c r="O458">
        <v>-3</v>
      </c>
      <c r="P458">
        <v>5</v>
      </c>
      <c r="Q458">
        <v>8</v>
      </c>
      <c r="R458">
        <v>1489.5</v>
      </c>
      <c r="S458">
        <v>-3715</v>
      </c>
      <c r="T458">
        <v>0</v>
      </c>
      <c r="U458">
        <v>0</v>
      </c>
      <c r="V458" t="s">
        <v>34</v>
      </c>
      <c r="W458">
        <v>1489.5</v>
      </c>
      <c r="X458">
        <v>-3715</v>
      </c>
      <c r="Y458">
        <v>0</v>
      </c>
      <c r="Z458">
        <v>1.9984761E-2</v>
      </c>
      <c r="AA458">
        <v>5204.5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5204.5</v>
      </c>
      <c r="AH458">
        <f t="shared" si="7"/>
        <v>0</v>
      </c>
    </row>
    <row r="459" spans="1:34" x14ac:dyDescent="0.25">
      <c r="A459" s="1">
        <v>44159</v>
      </c>
      <c r="B459">
        <v>492</v>
      </c>
      <c r="C459">
        <v>-9.0634440000000004E-3</v>
      </c>
      <c r="D459">
        <v>742</v>
      </c>
      <c r="E459">
        <v>-1.3458949999999999E-3</v>
      </c>
      <c r="F459">
        <v>-7.7175489999999998E-3</v>
      </c>
      <c r="G459">
        <v>7.7175489999999998E-3</v>
      </c>
      <c r="H459">
        <v>1.6756581E-2</v>
      </c>
      <c r="I459">
        <v>2.0645688999999998E-2</v>
      </c>
      <c r="J459">
        <v>0</v>
      </c>
      <c r="K459">
        <v>0</v>
      </c>
      <c r="L459">
        <v>-1</v>
      </c>
      <c r="M459">
        <v>5</v>
      </c>
      <c r="N459">
        <v>0.223952919</v>
      </c>
      <c r="O459">
        <v>3</v>
      </c>
      <c r="P459">
        <v>-5</v>
      </c>
      <c r="Q459">
        <v>8</v>
      </c>
      <c r="R459">
        <v>-1476</v>
      </c>
      <c r="S459">
        <v>3710</v>
      </c>
      <c r="T459">
        <v>13.5</v>
      </c>
      <c r="U459">
        <v>-5</v>
      </c>
      <c r="V459" t="s">
        <v>35</v>
      </c>
      <c r="W459">
        <v>-1476</v>
      </c>
      <c r="X459">
        <v>3710</v>
      </c>
      <c r="Y459">
        <v>8.5</v>
      </c>
      <c r="Z459">
        <v>2.0645688999999998E-2</v>
      </c>
      <c r="AA459">
        <v>5186</v>
      </c>
      <c r="AB459">
        <v>0</v>
      </c>
      <c r="AC459">
        <v>8.5</v>
      </c>
      <c r="AD459">
        <v>1.6390280000000001E-3</v>
      </c>
      <c r="AE459">
        <v>0</v>
      </c>
      <c r="AF459">
        <v>8.5</v>
      </c>
      <c r="AG459">
        <v>0</v>
      </c>
      <c r="AH459">
        <f t="shared" si="7"/>
        <v>1.6390281527188584E-3</v>
      </c>
    </row>
    <row r="460" spans="1:34" x14ac:dyDescent="0.25">
      <c r="A460" s="1">
        <v>44160</v>
      </c>
      <c r="B460">
        <v>487</v>
      </c>
      <c r="C460">
        <v>-1.0162602E-2</v>
      </c>
      <c r="D460">
        <v>724</v>
      </c>
      <c r="E460">
        <v>-2.4258760000000001E-2</v>
      </c>
      <c r="F460">
        <v>1.4096157999999999E-2</v>
      </c>
      <c r="G460">
        <v>1.4096157999999999E-2</v>
      </c>
      <c r="H460">
        <v>1.2490517E-2</v>
      </c>
      <c r="I460">
        <v>1.6015261999999999E-2</v>
      </c>
      <c r="J460">
        <v>1</v>
      </c>
      <c r="K460">
        <v>0</v>
      </c>
      <c r="L460">
        <v>0</v>
      </c>
      <c r="M460">
        <v>5</v>
      </c>
      <c r="N460">
        <v>3.5487328219999998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W460">
        <v>0</v>
      </c>
      <c r="X460">
        <v>0</v>
      </c>
      <c r="Y460">
        <v>0</v>
      </c>
      <c r="Z460">
        <v>1.6015261999999999E-2</v>
      </c>
      <c r="AA460">
        <v>0</v>
      </c>
      <c r="AB460" t="s">
        <v>33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f t="shared" si="7"/>
        <v>0</v>
      </c>
    </row>
    <row r="461" spans="1:34" x14ac:dyDescent="0.25">
      <c r="A461" s="1">
        <v>44161</v>
      </c>
      <c r="B461">
        <v>489</v>
      </c>
      <c r="C461">
        <v>4.1067760000000003E-3</v>
      </c>
      <c r="D461">
        <v>730</v>
      </c>
      <c r="E461">
        <v>8.2872929999999994E-3</v>
      </c>
      <c r="F461">
        <v>-4.1805169999999999E-3</v>
      </c>
      <c r="G461">
        <v>4.1805169999999999E-3</v>
      </c>
      <c r="H461">
        <v>1.1420398E-2</v>
      </c>
      <c r="I461">
        <v>1.6201027999999999E-2</v>
      </c>
      <c r="J461">
        <v>0</v>
      </c>
      <c r="K461">
        <v>0</v>
      </c>
      <c r="L461">
        <v>0</v>
      </c>
      <c r="M461">
        <v>5</v>
      </c>
      <c r="N461">
        <v>3.0124902549999999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W461">
        <v>0</v>
      </c>
      <c r="X461">
        <v>0</v>
      </c>
      <c r="Y461">
        <v>0</v>
      </c>
      <c r="Z461">
        <v>1.6201027999999999E-2</v>
      </c>
      <c r="AA461">
        <v>0</v>
      </c>
      <c r="AB461" t="s">
        <v>33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f t="shared" si="7"/>
        <v>0</v>
      </c>
    </row>
    <row r="462" spans="1:34" x14ac:dyDescent="0.25">
      <c r="A462" s="1">
        <v>44162</v>
      </c>
      <c r="B462">
        <v>489</v>
      </c>
      <c r="C462">
        <v>0</v>
      </c>
      <c r="D462">
        <v>725</v>
      </c>
      <c r="E462">
        <v>-6.8493149999999999E-3</v>
      </c>
      <c r="F462">
        <v>6.8493149999999999E-3</v>
      </c>
      <c r="G462">
        <v>6.8493149999999999E-3</v>
      </c>
      <c r="H462">
        <v>1.1231886999999999E-2</v>
      </c>
      <c r="I462">
        <v>1.1834923000000001E-2</v>
      </c>
      <c r="J462">
        <v>1</v>
      </c>
      <c r="K462">
        <v>0</v>
      </c>
      <c r="L462">
        <v>0</v>
      </c>
      <c r="M462">
        <v>5</v>
      </c>
      <c r="N462" t="s">
        <v>36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W462">
        <v>0</v>
      </c>
      <c r="X462">
        <v>0</v>
      </c>
      <c r="Y462">
        <v>0</v>
      </c>
      <c r="Z462">
        <v>1.1834923000000001E-2</v>
      </c>
      <c r="AA462">
        <v>0</v>
      </c>
      <c r="AB462" t="s">
        <v>33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f t="shared" si="7"/>
        <v>0</v>
      </c>
    </row>
    <row r="463" spans="1:34" x14ac:dyDescent="0.25">
      <c r="A463" s="1">
        <v>44165</v>
      </c>
      <c r="B463">
        <v>480.5</v>
      </c>
      <c r="C463">
        <v>-1.7382412999999999E-2</v>
      </c>
      <c r="D463">
        <v>704</v>
      </c>
      <c r="E463">
        <v>-2.8965517E-2</v>
      </c>
      <c r="F463">
        <v>1.1583104E-2</v>
      </c>
      <c r="G463">
        <v>1.1583104E-2</v>
      </c>
      <c r="H463">
        <v>8.5610530000000008E-3</v>
      </c>
      <c r="I463">
        <v>1.5654762999999999E-2</v>
      </c>
      <c r="J463">
        <v>1</v>
      </c>
      <c r="K463">
        <v>0</v>
      </c>
      <c r="L463">
        <v>0</v>
      </c>
      <c r="M463">
        <v>5</v>
      </c>
      <c r="N463">
        <v>2.4414649210000001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W463">
        <v>0</v>
      </c>
      <c r="X463">
        <v>0</v>
      </c>
      <c r="Y463">
        <v>0</v>
      </c>
      <c r="Z463">
        <v>1.5654762999999999E-2</v>
      </c>
      <c r="AA463">
        <v>0</v>
      </c>
      <c r="AB463" t="s">
        <v>33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f t="shared" si="7"/>
        <v>0</v>
      </c>
    </row>
    <row r="464" spans="1:34" x14ac:dyDescent="0.25">
      <c r="A464" s="1">
        <v>44166</v>
      </c>
      <c r="B464">
        <v>490</v>
      </c>
      <c r="C464">
        <v>1.9771072000000001E-2</v>
      </c>
      <c r="D464">
        <v>697</v>
      </c>
      <c r="E464">
        <v>-9.9431820000000001E-3</v>
      </c>
      <c r="F464">
        <v>2.9714253999999999E-2</v>
      </c>
      <c r="G464">
        <v>2.9714253999999999E-2</v>
      </c>
      <c r="H464">
        <v>1.4234624E-2</v>
      </c>
      <c r="I464">
        <v>1.4831066E-2</v>
      </c>
      <c r="J464">
        <v>1</v>
      </c>
      <c r="K464">
        <v>1</v>
      </c>
      <c r="L464">
        <v>1</v>
      </c>
      <c r="M464">
        <v>5</v>
      </c>
      <c r="N464">
        <v>0.71537188100000004</v>
      </c>
      <c r="O464">
        <v>-4</v>
      </c>
      <c r="P464">
        <v>5</v>
      </c>
      <c r="Q464">
        <v>9</v>
      </c>
      <c r="R464">
        <v>1960</v>
      </c>
      <c r="S464">
        <v>-3485</v>
      </c>
      <c r="T464">
        <v>0</v>
      </c>
      <c r="U464">
        <v>0</v>
      </c>
      <c r="V464" t="s">
        <v>34</v>
      </c>
      <c r="W464">
        <v>1960</v>
      </c>
      <c r="X464">
        <v>-3485</v>
      </c>
      <c r="Y464">
        <v>0</v>
      </c>
      <c r="Z464">
        <v>1.4831066E-2</v>
      </c>
      <c r="AA464">
        <v>5445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5445</v>
      </c>
      <c r="AH464">
        <f t="shared" si="7"/>
        <v>0</v>
      </c>
    </row>
    <row r="465" spans="1:34" x14ac:dyDescent="0.25">
      <c r="A465" s="1">
        <v>44167</v>
      </c>
      <c r="B465">
        <v>499</v>
      </c>
      <c r="C465">
        <v>1.8367346999999999E-2</v>
      </c>
      <c r="D465">
        <v>712</v>
      </c>
      <c r="E465">
        <v>2.1520803000000002E-2</v>
      </c>
      <c r="F465">
        <v>-3.1534570000000001E-3</v>
      </c>
      <c r="G465">
        <v>3.1534570000000001E-3</v>
      </c>
      <c r="H465">
        <v>1.5195699E-2</v>
      </c>
      <c r="I465">
        <v>1.9142396999999998E-2</v>
      </c>
      <c r="J465">
        <v>0</v>
      </c>
      <c r="K465">
        <v>0</v>
      </c>
      <c r="L465">
        <v>-1</v>
      </c>
      <c r="M465">
        <v>5</v>
      </c>
      <c r="N465">
        <v>1.671827634</v>
      </c>
      <c r="O465">
        <v>4</v>
      </c>
      <c r="P465">
        <v>-5</v>
      </c>
      <c r="Q465">
        <v>9</v>
      </c>
      <c r="R465">
        <v>-1996</v>
      </c>
      <c r="S465">
        <v>3560</v>
      </c>
      <c r="T465">
        <v>-36</v>
      </c>
      <c r="U465">
        <v>75</v>
      </c>
      <c r="V465" t="s">
        <v>35</v>
      </c>
      <c r="W465">
        <v>-1996</v>
      </c>
      <c r="X465">
        <v>3560</v>
      </c>
      <c r="Y465">
        <v>39</v>
      </c>
      <c r="Z465">
        <v>1.9142396999999998E-2</v>
      </c>
      <c r="AA465">
        <v>5556</v>
      </c>
      <c r="AB465">
        <v>0</v>
      </c>
      <c r="AC465">
        <v>39</v>
      </c>
      <c r="AD465">
        <v>7.0194380000000002E-3</v>
      </c>
      <c r="AE465">
        <v>0</v>
      </c>
      <c r="AF465">
        <v>39</v>
      </c>
      <c r="AG465">
        <v>0</v>
      </c>
      <c r="AH465">
        <f t="shared" si="7"/>
        <v>7.0194384449244057E-3</v>
      </c>
    </row>
    <row r="466" spans="1:34" x14ac:dyDescent="0.25">
      <c r="A466" s="1">
        <v>44168</v>
      </c>
      <c r="B466">
        <v>497</v>
      </c>
      <c r="C466">
        <v>-4.0080159999999997E-3</v>
      </c>
      <c r="D466">
        <v>700</v>
      </c>
      <c r="E466">
        <v>-1.6853933000000001E-2</v>
      </c>
      <c r="F466">
        <v>1.2845917E-2</v>
      </c>
      <c r="G466">
        <v>1.2845917E-2</v>
      </c>
      <c r="H466">
        <v>1.5735058E-2</v>
      </c>
      <c r="I466">
        <v>1.8670061000000002E-2</v>
      </c>
      <c r="J466">
        <v>1</v>
      </c>
      <c r="K466">
        <v>0</v>
      </c>
      <c r="L466">
        <v>0</v>
      </c>
      <c r="M466">
        <v>5</v>
      </c>
      <c r="N466">
        <v>5.9226143379999998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W466">
        <v>0</v>
      </c>
      <c r="X466">
        <v>0</v>
      </c>
      <c r="Y466">
        <v>0</v>
      </c>
      <c r="Z466">
        <v>1.8670061000000002E-2</v>
      </c>
      <c r="AA466">
        <v>0</v>
      </c>
      <c r="AB466" t="s">
        <v>33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f t="shared" si="7"/>
        <v>0</v>
      </c>
    </row>
    <row r="467" spans="1:34" x14ac:dyDescent="0.25">
      <c r="A467" s="1">
        <v>44169</v>
      </c>
      <c r="B467">
        <v>503</v>
      </c>
      <c r="C467">
        <v>1.2072434999999999E-2</v>
      </c>
      <c r="D467">
        <v>705</v>
      </c>
      <c r="E467">
        <v>7.1428569999999999E-3</v>
      </c>
      <c r="F467">
        <v>4.9295770000000001E-3</v>
      </c>
      <c r="G467">
        <v>4.9295770000000001E-3</v>
      </c>
      <c r="H467">
        <v>1.6016300000000001E-2</v>
      </c>
      <c r="I467">
        <v>1.9932496000000001E-2</v>
      </c>
      <c r="J467">
        <v>1</v>
      </c>
      <c r="K467">
        <v>0</v>
      </c>
      <c r="L467">
        <v>0</v>
      </c>
      <c r="M467">
        <v>5</v>
      </c>
      <c r="N467">
        <v>0.82927435400000005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W467">
        <v>0</v>
      </c>
      <c r="X467">
        <v>0</v>
      </c>
      <c r="Y467">
        <v>0</v>
      </c>
      <c r="Z467">
        <v>1.9932496000000001E-2</v>
      </c>
      <c r="AA467">
        <v>0</v>
      </c>
      <c r="AB467" t="s">
        <v>33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f t="shared" si="7"/>
        <v>0</v>
      </c>
    </row>
    <row r="468" spans="1:34" x14ac:dyDescent="0.25">
      <c r="A468" s="1">
        <v>44172</v>
      </c>
      <c r="B468">
        <v>514</v>
      </c>
      <c r="C468">
        <v>2.1868787000000001E-2</v>
      </c>
      <c r="D468">
        <v>704</v>
      </c>
      <c r="E468">
        <v>-1.41844E-3</v>
      </c>
      <c r="F468">
        <v>2.3287227000000001E-2</v>
      </c>
      <c r="G468">
        <v>2.3287227000000001E-2</v>
      </c>
      <c r="H468">
        <v>1.0506632E-2</v>
      </c>
      <c r="I468">
        <v>1.4992157000000001E-2</v>
      </c>
      <c r="J468">
        <v>1</v>
      </c>
      <c r="K468">
        <v>1</v>
      </c>
      <c r="L468">
        <v>1</v>
      </c>
      <c r="M468">
        <v>5</v>
      </c>
      <c r="N468">
        <v>8.8837375999999996E-2</v>
      </c>
      <c r="O468">
        <v>-1</v>
      </c>
      <c r="P468">
        <v>5</v>
      </c>
      <c r="Q468">
        <v>6</v>
      </c>
      <c r="R468">
        <v>514</v>
      </c>
      <c r="S468">
        <v>-3520</v>
      </c>
      <c r="T468">
        <v>0</v>
      </c>
      <c r="U468">
        <v>0</v>
      </c>
      <c r="V468" t="s">
        <v>34</v>
      </c>
      <c r="W468">
        <v>514</v>
      </c>
      <c r="X468">
        <v>-3520</v>
      </c>
      <c r="Y468">
        <v>0</v>
      </c>
      <c r="Z468">
        <v>1.4992157000000001E-2</v>
      </c>
      <c r="AA468">
        <v>4034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4034</v>
      </c>
      <c r="AH468">
        <f t="shared" si="7"/>
        <v>0</v>
      </c>
    </row>
    <row r="469" spans="1:34" x14ac:dyDescent="0.25">
      <c r="A469" s="1">
        <v>44173</v>
      </c>
      <c r="B469">
        <v>524</v>
      </c>
      <c r="C469">
        <v>1.9455252999999999E-2</v>
      </c>
      <c r="D469">
        <v>730</v>
      </c>
      <c r="E469">
        <v>3.6931817999999998E-2</v>
      </c>
      <c r="F469">
        <v>-1.7476564999999999E-2</v>
      </c>
      <c r="G469">
        <v>1.7476564999999999E-2</v>
      </c>
      <c r="H469">
        <v>1.0461216000000001E-2</v>
      </c>
      <c r="I469">
        <v>2.0714103000000001E-2</v>
      </c>
      <c r="J469">
        <v>0</v>
      </c>
      <c r="K469">
        <v>0</v>
      </c>
      <c r="L469">
        <v>-1</v>
      </c>
      <c r="M469">
        <v>5</v>
      </c>
      <c r="N469">
        <v>2.644571912</v>
      </c>
      <c r="O469">
        <v>1</v>
      </c>
      <c r="P469">
        <v>-5</v>
      </c>
      <c r="Q469">
        <v>6</v>
      </c>
      <c r="R469">
        <v>-524</v>
      </c>
      <c r="S469">
        <v>3650</v>
      </c>
      <c r="T469">
        <v>-10</v>
      </c>
      <c r="U469">
        <v>130</v>
      </c>
      <c r="V469" t="s">
        <v>35</v>
      </c>
      <c r="W469">
        <v>-524</v>
      </c>
      <c r="X469">
        <v>3650</v>
      </c>
      <c r="Y469">
        <v>120</v>
      </c>
      <c r="Z469">
        <v>2.0714103000000001E-2</v>
      </c>
      <c r="AA469">
        <v>4174</v>
      </c>
      <c r="AB469">
        <v>0</v>
      </c>
      <c r="AC469">
        <v>120</v>
      </c>
      <c r="AD469">
        <v>2.8749401000000001E-2</v>
      </c>
      <c r="AE469">
        <v>0</v>
      </c>
      <c r="AF469">
        <v>120</v>
      </c>
      <c r="AG469">
        <v>0</v>
      </c>
      <c r="AH469">
        <f t="shared" si="7"/>
        <v>2.8749401054144707E-2</v>
      </c>
    </row>
    <row r="470" spans="1:34" x14ac:dyDescent="0.25">
      <c r="A470" s="1">
        <v>44174</v>
      </c>
      <c r="B470">
        <v>520</v>
      </c>
      <c r="C470">
        <v>-7.6335880000000002E-3</v>
      </c>
      <c r="D470">
        <v>734</v>
      </c>
      <c r="E470">
        <v>5.4794520000000001E-3</v>
      </c>
      <c r="F470">
        <v>-1.3113039999999999E-2</v>
      </c>
      <c r="G470">
        <v>1.3113039999999999E-2</v>
      </c>
      <c r="H470">
        <v>1.3492001E-2</v>
      </c>
      <c r="I470">
        <v>1.9591844000000001E-2</v>
      </c>
      <c r="J470">
        <v>0</v>
      </c>
      <c r="K470">
        <v>0</v>
      </c>
      <c r="L470">
        <v>0</v>
      </c>
      <c r="M470">
        <v>5</v>
      </c>
      <c r="N470">
        <v>1.0132139090000001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W470">
        <v>0</v>
      </c>
      <c r="X470">
        <v>0</v>
      </c>
      <c r="Y470">
        <v>0</v>
      </c>
      <c r="Z470">
        <v>1.9591844000000001E-2</v>
      </c>
      <c r="AA470">
        <v>0</v>
      </c>
      <c r="AB470" t="s">
        <v>33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f t="shared" si="7"/>
        <v>0</v>
      </c>
    </row>
    <row r="471" spans="1:34" x14ac:dyDescent="0.25">
      <c r="A471" s="1">
        <v>44175</v>
      </c>
      <c r="B471">
        <v>512</v>
      </c>
      <c r="C471">
        <v>-1.5384615000000001E-2</v>
      </c>
      <c r="D471">
        <v>709</v>
      </c>
      <c r="E471">
        <v>-3.4059946000000001E-2</v>
      </c>
      <c r="F471">
        <v>1.867533E-2</v>
      </c>
      <c r="G471">
        <v>1.867533E-2</v>
      </c>
      <c r="H471">
        <v>1.6679962E-2</v>
      </c>
      <c r="I471">
        <v>2.5335106999999999E-2</v>
      </c>
      <c r="J471">
        <v>1</v>
      </c>
      <c r="K471">
        <v>0</v>
      </c>
      <c r="L471">
        <v>0</v>
      </c>
      <c r="M471">
        <v>5</v>
      </c>
      <c r="N471">
        <v>3.0657277120000002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W471">
        <v>0</v>
      </c>
      <c r="X471">
        <v>0</v>
      </c>
      <c r="Y471">
        <v>0</v>
      </c>
      <c r="Z471">
        <v>2.5335106999999999E-2</v>
      </c>
      <c r="AA471">
        <v>0</v>
      </c>
      <c r="AB471" t="s">
        <v>33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f t="shared" si="7"/>
        <v>0</v>
      </c>
    </row>
    <row r="472" spans="1:34" x14ac:dyDescent="0.25">
      <c r="A472" s="1">
        <v>44176</v>
      </c>
      <c r="B472">
        <v>516</v>
      </c>
      <c r="C472">
        <v>7.8125E-3</v>
      </c>
      <c r="D472">
        <v>707</v>
      </c>
      <c r="E472">
        <v>-2.8208740000000001E-3</v>
      </c>
      <c r="F472">
        <v>1.0633373999999999E-2</v>
      </c>
      <c r="G472">
        <v>1.0633373999999999E-2</v>
      </c>
      <c r="H472">
        <v>1.6403584999999998E-2</v>
      </c>
      <c r="I472">
        <v>2.5301437999999999E-2</v>
      </c>
      <c r="J472">
        <v>1</v>
      </c>
      <c r="K472">
        <v>0</v>
      </c>
      <c r="L472">
        <v>0</v>
      </c>
      <c r="M472">
        <v>5</v>
      </c>
      <c r="N472">
        <v>0.49472452700000003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W472">
        <v>0</v>
      </c>
      <c r="X472">
        <v>0</v>
      </c>
      <c r="Y472">
        <v>0</v>
      </c>
      <c r="Z472">
        <v>2.5301437999999999E-2</v>
      </c>
      <c r="AA472">
        <v>0</v>
      </c>
      <c r="AB472" t="s">
        <v>33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f t="shared" si="7"/>
        <v>0</v>
      </c>
    </row>
    <row r="473" spans="1:34" x14ac:dyDescent="0.25">
      <c r="A473" s="1">
        <v>44179</v>
      </c>
      <c r="B473">
        <v>508</v>
      </c>
      <c r="C473">
        <v>-1.5503876E-2</v>
      </c>
      <c r="D473">
        <v>702</v>
      </c>
      <c r="E473">
        <v>-7.0721359999999997E-3</v>
      </c>
      <c r="F473">
        <v>-8.4317400000000001E-3</v>
      </c>
      <c r="G473">
        <v>8.4317400000000001E-3</v>
      </c>
      <c r="H473">
        <v>1.5407288999999999E-2</v>
      </c>
      <c r="I473">
        <v>2.5551714999999999E-2</v>
      </c>
      <c r="J473">
        <v>0</v>
      </c>
      <c r="K473">
        <v>0</v>
      </c>
      <c r="L473">
        <v>0</v>
      </c>
      <c r="M473">
        <v>5</v>
      </c>
      <c r="N473">
        <v>0.63035282699999995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W473">
        <v>0</v>
      </c>
      <c r="X473">
        <v>0</v>
      </c>
      <c r="Y473">
        <v>0</v>
      </c>
      <c r="Z473">
        <v>2.5551714999999999E-2</v>
      </c>
      <c r="AA473">
        <v>0</v>
      </c>
      <c r="AB473" t="s">
        <v>33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f t="shared" si="7"/>
        <v>0</v>
      </c>
    </row>
    <row r="474" spans="1:34" x14ac:dyDescent="0.25">
      <c r="A474" s="1">
        <v>44180</v>
      </c>
      <c r="B474">
        <v>504</v>
      </c>
      <c r="C474">
        <v>-7.8740159999999993E-3</v>
      </c>
      <c r="D474">
        <v>701</v>
      </c>
      <c r="E474">
        <v>-1.4245009999999999E-3</v>
      </c>
      <c r="F474">
        <v>-6.4495139999999999E-3</v>
      </c>
      <c r="G474">
        <v>6.4495139999999999E-3</v>
      </c>
      <c r="H474">
        <v>9.4950610000000008E-3</v>
      </c>
      <c r="I474">
        <v>1.5262174E-2</v>
      </c>
      <c r="J474">
        <v>0</v>
      </c>
      <c r="K474">
        <v>0</v>
      </c>
      <c r="L474">
        <v>0</v>
      </c>
      <c r="M474">
        <v>5</v>
      </c>
      <c r="N474">
        <v>0.25162517499999998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W474">
        <v>0</v>
      </c>
      <c r="X474">
        <v>0</v>
      </c>
      <c r="Y474">
        <v>0</v>
      </c>
      <c r="Z474">
        <v>1.5262174E-2</v>
      </c>
      <c r="AA474">
        <v>0</v>
      </c>
      <c r="AB474" t="s">
        <v>33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f t="shared" si="7"/>
        <v>0</v>
      </c>
    </row>
    <row r="475" spans="1:34" x14ac:dyDescent="0.25">
      <c r="A475" s="1">
        <v>44181</v>
      </c>
      <c r="B475">
        <v>512</v>
      </c>
      <c r="C475">
        <v>1.5873016E-2</v>
      </c>
      <c r="D475">
        <v>701</v>
      </c>
      <c r="E475">
        <v>0</v>
      </c>
      <c r="F475">
        <v>1.5873016E-2</v>
      </c>
      <c r="G475">
        <v>1.5873016E-2</v>
      </c>
      <c r="H475">
        <v>1.4200188000000001E-2</v>
      </c>
      <c r="I475">
        <v>1.4214945999999999E-2</v>
      </c>
      <c r="J475">
        <v>1</v>
      </c>
      <c r="K475">
        <v>0</v>
      </c>
      <c r="L475">
        <v>0</v>
      </c>
      <c r="M475">
        <v>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W475">
        <v>0</v>
      </c>
      <c r="X475">
        <v>0</v>
      </c>
      <c r="Y475">
        <v>0</v>
      </c>
      <c r="Z475">
        <v>1.4214945999999999E-2</v>
      </c>
      <c r="AA475">
        <v>0</v>
      </c>
      <c r="AB475" t="s">
        <v>33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f t="shared" si="7"/>
        <v>0</v>
      </c>
    </row>
    <row r="476" spans="1:34" x14ac:dyDescent="0.25">
      <c r="A476" s="1">
        <v>44182</v>
      </c>
      <c r="B476">
        <v>508</v>
      </c>
      <c r="C476">
        <v>-7.8125E-3</v>
      </c>
      <c r="D476">
        <v>704</v>
      </c>
      <c r="E476">
        <v>4.2796010000000001E-3</v>
      </c>
      <c r="F476">
        <v>-1.2092100999999999E-2</v>
      </c>
      <c r="G476">
        <v>1.2092100999999999E-2</v>
      </c>
      <c r="H476">
        <v>1.2895044E-2</v>
      </c>
      <c r="I476">
        <v>4.135522E-3</v>
      </c>
      <c r="J476">
        <v>0</v>
      </c>
      <c r="K476">
        <v>0</v>
      </c>
      <c r="L476">
        <v>0</v>
      </c>
      <c r="M476">
        <v>5</v>
      </c>
      <c r="N476">
        <v>0.75914048499999998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W476">
        <v>0</v>
      </c>
      <c r="X476">
        <v>0</v>
      </c>
      <c r="Y476">
        <v>0</v>
      </c>
      <c r="Z476">
        <v>1.2895044E-2</v>
      </c>
      <c r="AA476">
        <v>0</v>
      </c>
      <c r="AB476" t="s">
        <v>33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f t="shared" si="7"/>
        <v>0</v>
      </c>
    </row>
    <row r="477" spans="1:34" x14ac:dyDescent="0.25">
      <c r="A477" s="1">
        <v>44183</v>
      </c>
      <c r="B477">
        <v>510</v>
      </c>
      <c r="C477">
        <v>3.9370079999999997E-3</v>
      </c>
      <c r="D477">
        <v>699</v>
      </c>
      <c r="E477">
        <v>-7.1022730000000001E-3</v>
      </c>
      <c r="F477">
        <v>1.1039281E-2</v>
      </c>
      <c r="G477">
        <v>1.1039281E-2</v>
      </c>
      <c r="H477">
        <v>1.2297921999999999E-2</v>
      </c>
      <c r="I477">
        <v>4.877915E-3</v>
      </c>
      <c r="J477">
        <v>1</v>
      </c>
      <c r="K477">
        <v>0</v>
      </c>
      <c r="L477">
        <v>0</v>
      </c>
      <c r="M477">
        <v>5</v>
      </c>
      <c r="N477">
        <v>2.4725100270000002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W477">
        <v>0</v>
      </c>
      <c r="X477">
        <v>0</v>
      </c>
      <c r="Y477">
        <v>0</v>
      </c>
      <c r="Z477">
        <v>1.2297921999999999E-2</v>
      </c>
      <c r="AA477">
        <v>0</v>
      </c>
      <c r="AB477" t="s">
        <v>33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f t="shared" si="7"/>
        <v>0</v>
      </c>
    </row>
    <row r="478" spans="1:34" x14ac:dyDescent="0.25">
      <c r="A478" s="1">
        <v>44186</v>
      </c>
      <c r="B478">
        <v>516</v>
      </c>
      <c r="C478">
        <v>1.1764706E-2</v>
      </c>
      <c r="D478">
        <v>708</v>
      </c>
      <c r="E478">
        <v>1.2875536E-2</v>
      </c>
      <c r="F478">
        <v>-1.1108310000000001E-3</v>
      </c>
      <c r="G478">
        <v>1.1108310000000001E-3</v>
      </c>
      <c r="H478">
        <v>1.0936283E-2</v>
      </c>
      <c r="I478">
        <v>7.4443970000000002E-3</v>
      </c>
      <c r="J478">
        <v>0</v>
      </c>
      <c r="K478">
        <v>0</v>
      </c>
      <c r="L478">
        <v>0</v>
      </c>
      <c r="M478">
        <v>5</v>
      </c>
      <c r="N478">
        <v>1.5016468709999999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W478">
        <v>0</v>
      </c>
      <c r="X478">
        <v>0</v>
      </c>
      <c r="Y478">
        <v>0</v>
      </c>
      <c r="Z478">
        <v>1.0936283E-2</v>
      </c>
      <c r="AA478">
        <v>0</v>
      </c>
      <c r="AB478" t="s">
        <v>33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f t="shared" si="7"/>
        <v>0</v>
      </c>
    </row>
    <row r="479" spans="1:34" x14ac:dyDescent="0.25">
      <c r="A479" s="1">
        <v>44187</v>
      </c>
      <c r="B479">
        <v>509</v>
      </c>
      <c r="C479">
        <v>-1.3565891E-2</v>
      </c>
      <c r="D479">
        <v>703</v>
      </c>
      <c r="E479">
        <v>-7.0621470000000004E-3</v>
      </c>
      <c r="F479">
        <v>-6.503745E-3</v>
      </c>
      <c r="G479">
        <v>6.503745E-3</v>
      </c>
      <c r="H479">
        <v>1.255126E-2</v>
      </c>
      <c r="I479">
        <v>8.4056789999999992E-3</v>
      </c>
      <c r="J479">
        <v>0</v>
      </c>
      <c r="K479">
        <v>0</v>
      </c>
      <c r="L479">
        <v>0</v>
      </c>
      <c r="M479">
        <v>5</v>
      </c>
      <c r="N479">
        <v>0.71899513400000004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W479">
        <v>0</v>
      </c>
      <c r="X479">
        <v>0</v>
      </c>
      <c r="Y479">
        <v>0</v>
      </c>
      <c r="Z479">
        <v>1.255126E-2</v>
      </c>
      <c r="AA479">
        <v>0</v>
      </c>
      <c r="AB479" t="s">
        <v>33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f t="shared" si="7"/>
        <v>0</v>
      </c>
    </row>
    <row r="480" spans="1:34" x14ac:dyDescent="0.25">
      <c r="A480" s="1">
        <v>44188</v>
      </c>
      <c r="B480">
        <v>509</v>
      </c>
      <c r="C480">
        <v>0</v>
      </c>
      <c r="D480">
        <v>720</v>
      </c>
      <c r="E480">
        <v>2.4182077E-2</v>
      </c>
      <c r="F480">
        <v>-2.4182077E-2</v>
      </c>
      <c r="G480">
        <v>2.4182077E-2</v>
      </c>
      <c r="H480">
        <v>9.9062100000000004E-3</v>
      </c>
      <c r="I480">
        <v>1.3430480999999999E-2</v>
      </c>
      <c r="J480">
        <v>0</v>
      </c>
      <c r="K480">
        <v>0</v>
      </c>
      <c r="L480">
        <v>0</v>
      </c>
      <c r="M480">
        <v>5</v>
      </c>
      <c r="N480" t="s">
        <v>36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W480">
        <v>0</v>
      </c>
      <c r="X480">
        <v>0</v>
      </c>
      <c r="Y480">
        <v>0</v>
      </c>
      <c r="Z480">
        <v>1.3430480999999999E-2</v>
      </c>
      <c r="AA480">
        <v>0</v>
      </c>
      <c r="AB480" t="s">
        <v>33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f t="shared" si="7"/>
        <v>0</v>
      </c>
    </row>
    <row r="481" spans="1:34" x14ac:dyDescent="0.25">
      <c r="A481" s="1">
        <v>44189</v>
      </c>
      <c r="B481">
        <v>510</v>
      </c>
      <c r="C481">
        <v>1.964637E-3</v>
      </c>
      <c r="D481">
        <v>714</v>
      </c>
      <c r="E481">
        <v>-8.3333330000000001E-3</v>
      </c>
      <c r="F481">
        <v>1.029797E-2</v>
      </c>
      <c r="G481">
        <v>1.029797E-2</v>
      </c>
      <c r="H481">
        <v>9.1983529999999994E-3</v>
      </c>
      <c r="I481">
        <v>1.4814815E-2</v>
      </c>
      <c r="J481">
        <v>1</v>
      </c>
      <c r="K481">
        <v>0</v>
      </c>
      <c r="L481">
        <v>0</v>
      </c>
      <c r="M481">
        <v>5</v>
      </c>
      <c r="N481">
        <v>5.9383333330000001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W481">
        <v>0</v>
      </c>
      <c r="X481">
        <v>0</v>
      </c>
      <c r="Y481">
        <v>0</v>
      </c>
      <c r="Z481">
        <v>1.4814815E-2</v>
      </c>
      <c r="AA481">
        <v>0</v>
      </c>
      <c r="AB481" t="s">
        <v>33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f t="shared" si="7"/>
        <v>0</v>
      </c>
    </row>
    <row r="482" spans="1:34" x14ac:dyDescent="0.25">
      <c r="A482" s="1">
        <v>44190</v>
      </c>
      <c r="B482">
        <v>511</v>
      </c>
      <c r="C482">
        <v>1.9607840000000001E-3</v>
      </c>
      <c r="D482">
        <v>715</v>
      </c>
      <c r="E482">
        <v>1.4005599999999999E-3</v>
      </c>
      <c r="F482">
        <v>5.6022400000000001E-4</v>
      </c>
      <c r="G482">
        <v>5.6022400000000001E-4</v>
      </c>
      <c r="H482">
        <v>9.0725370000000003E-3</v>
      </c>
      <c r="I482">
        <v>1.3833425999999999E-2</v>
      </c>
      <c r="J482">
        <v>1</v>
      </c>
      <c r="K482">
        <v>0</v>
      </c>
      <c r="L482">
        <v>0</v>
      </c>
      <c r="M482">
        <v>5</v>
      </c>
      <c r="N482">
        <v>0.99944087199999998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W482">
        <v>0</v>
      </c>
      <c r="X482">
        <v>0</v>
      </c>
      <c r="Y482">
        <v>0</v>
      </c>
      <c r="Z482">
        <v>1.3833425999999999E-2</v>
      </c>
      <c r="AA482">
        <v>0</v>
      </c>
      <c r="AB482" t="s">
        <v>33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f t="shared" si="7"/>
        <v>0</v>
      </c>
    </row>
    <row r="483" spans="1:34" x14ac:dyDescent="0.25">
      <c r="A483" s="1">
        <v>44193</v>
      </c>
      <c r="B483">
        <v>515</v>
      </c>
      <c r="C483">
        <v>7.8277889999999999E-3</v>
      </c>
      <c r="D483">
        <v>740</v>
      </c>
      <c r="E483">
        <v>3.4965034999999998E-2</v>
      </c>
      <c r="F483">
        <v>-2.7137246E-2</v>
      </c>
      <c r="G483">
        <v>2.7137246E-2</v>
      </c>
      <c r="H483">
        <v>7.9428429999999998E-3</v>
      </c>
      <c r="I483">
        <v>1.9499117999999999E-2</v>
      </c>
      <c r="J483">
        <v>0</v>
      </c>
      <c r="K483">
        <v>1</v>
      </c>
      <c r="L483">
        <v>1</v>
      </c>
      <c r="M483">
        <v>5</v>
      </c>
      <c r="N483">
        <v>6.4182904470000004</v>
      </c>
      <c r="O483">
        <v>33</v>
      </c>
      <c r="P483">
        <v>-5</v>
      </c>
      <c r="Q483">
        <v>38</v>
      </c>
      <c r="R483">
        <v>-16995</v>
      </c>
      <c r="S483">
        <v>3700</v>
      </c>
      <c r="T483">
        <v>0</v>
      </c>
      <c r="U483">
        <v>0</v>
      </c>
      <c r="V483" t="s">
        <v>34</v>
      </c>
      <c r="W483">
        <v>-16995</v>
      </c>
      <c r="X483">
        <v>3700</v>
      </c>
      <c r="Y483">
        <v>0</v>
      </c>
      <c r="Z483">
        <v>1.9499117999999999E-2</v>
      </c>
      <c r="AA483">
        <v>20695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20695</v>
      </c>
      <c r="AH483">
        <f t="shared" si="7"/>
        <v>0</v>
      </c>
    </row>
    <row r="484" spans="1:34" x14ac:dyDescent="0.25">
      <c r="A484" s="1">
        <v>44194</v>
      </c>
      <c r="B484">
        <v>515</v>
      </c>
      <c r="C484">
        <v>0</v>
      </c>
      <c r="D484">
        <v>734</v>
      </c>
      <c r="E484">
        <v>-8.1081079999999993E-3</v>
      </c>
      <c r="F484">
        <v>8.1081079999999993E-3</v>
      </c>
      <c r="G484">
        <v>8.1081079999999993E-3</v>
      </c>
      <c r="H484">
        <v>3.215243E-3</v>
      </c>
      <c r="I484">
        <v>1.9719292999999999E-2</v>
      </c>
      <c r="J484">
        <v>1</v>
      </c>
      <c r="K484">
        <v>0</v>
      </c>
      <c r="L484">
        <v>-1</v>
      </c>
      <c r="M484">
        <v>5</v>
      </c>
      <c r="N484" t="s">
        <v>36</v>
      </c>
      <c r="O484">
        <v>-33</v>
      </c>
      <c r="P484">
        <v>5</v>
      </c>
      <c r="Q484">
        <v>38</v>
      </c>
      <c r="R484">
        <v>16995</v>
      </c>
      <c r="S484">
        <v>-3670</v>
      </c>
      <c r="T484">
        <v>0</v>
      </c>
      <c r="U484">
        <v>30</v>
      </c>
      <c r="V484" t="s">
        <v>35</v>
      </c>
      <c r="W484">
        <v>16995</v>
      </c>
      <c r="X484">
        <v>-3670</v>
      </c>
      <c r="Y484">
        <v>30</v>
      </c>
      <c r="Z484">
        <v>1.9719292999999999E-2</v>
      </c>
      <c r="AA484">
        <v>20665</v>
      </c>
      <c r="AB484">
        <v>0</v>
      </c>
      <c r="AC484">
        <v>30</v>
      </c>
      <c r="AD484">
        <v>1.45173E-3</v>
      </c>
      <c r="AE484">
        <v>0</v>
      </c>
      <c r="AF484">
        <v>30</v>
      </c>
      <c r="AG484">
        <v>0</v>
      </c>
      <c r="AH484">
        <f t="shared" si="7"/>
        <v>1.4517299782240503E-3</v>
      </c>
    </row>
    <row r="485" spans="1:34" x14ac:dyDescent="0.25">
      <c r="A485" s="1">
        <v>44195</v>
      </c>
      <c r="B485">
        <v>525</v>
      </c>
      <c r="C485">
        <v>1.9417475999999999E-2</v>
      </c>
      <c r="D485">
        <v>746</v>
      </c>
      <c r="E485">
        <v>1.6348774E-2</v>
      </c>
      <c r="F485">
        <v>3.068702E-3</v>
      </c>
      <c r="G485">
        <v>3.068702E-3</v>
      </c>
      <c r="H485">
        <v>7.9324459999999992E-3</v>
      </c>
      <c r="I485">
        <v>1.8465091999999999E-2</v>
      </c>
      <c r="J485">
        <v>1</v>
      </c>
      <c r="K485">
        <v>0</v>
      </c>
      <c r="L485">
        <v>0</v>
      </c>
      <c r="M485">
        <v>5</v>
      </c>
      <c r="N485">
        <v>1.196387699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W485">
        <v>0</v>
      </c>
      <c r="X485">
        <v>0</v>
      </c>
      <c r="Y485">
        <v>0</v>
      </c>
      <c r="Z485">
        <v>1.8465091999999999E-2</v>
      </c>
      <c r="AA485">
        <v>0</v>
      </c>
      <c r="AB485" t="s">
        <v>33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f t="shared" si="7"/>
        <v>0</v>
      </c>
    </row>
    <row r="486" spans="1:34" x14ac:dyDescent="0.25">
      <c r="A486" s="1">
        <v>44196</v>
      </c>
      <c r="B486">
        <v>530</v>
      </c>
      <c r="C486">
        <v>9.5238100000000006E-3</v>
      </c>
      <c r="D486">
        <v>747</v>
      </c>
      <c r="E486">
        <v>1.340483E-3</v>
      </c>
      <c r="F486">
        <v>8.1833270000000007E-3</v>
      </c>
      <c r="G486">
        <v>8.1833270000000007E-3</v>
      </c>
      <c r="H486">
        <v>7.6298729999999997E-3</v>
      </c>
      <c r="I486">
        <v>1.6860569999999998E-2</v>
      </c>
      <c r="J486">
        <v>1</v>
      </c>
      <c r="K486">
        <v>0</v>
      </c>
      <c r="L486">
        <v>0</v>
      </c>
      <c r="M486">
        <v>5</v>
      </c>
      <c r="N486">
        <v>0.19837877500000001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W486">
        <v>0</v>
      </c>
      <c r="X486">
        <v>0</v>
      </c>
      <c r="Y486">
        <v>0</v>
      </c>
      <c r="Z486">
        <v>1.6860569999999998E-2</v>
      </c>
      <c r="AA486">
        <v>0</v>
      </c>
      <c r="AB486" t="s">
        <v>33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f t="shared" si="7"/>
        <v>0</v>
      </c>
    </row>
    <row r="487" spans="1:34" x14ac:dyDescent="0.25">
      <c r="A487" s="1">
        <v>44200</v>
      </c>
      <c r="B487">
        <v>536</v>
      </c>
      <c r="C487">
        <v>1.1320755E-2</v>
      </c>
      <c r="D487">
        <v>792</v>
      </c>
      <c r="E487">
        <v>6.0240964000000001E-2</v>
      </c>
      <c r="F487">
        <v>-4.8920208999999999E-2</v>
      </c>
      <c r="G487">
        <v>4.8920208999999999E-2</v>
      </c>
      <c r="H487">
        <v>6.9758290000000002E-3</v>
      </c>
      <c r="I487">
        <v>2.7341720999999999E-2</v>
      </c>
      <c r="J487">
        <v>0</v>
      </c>
      <c r="K487">
        <v>1</v>
      </c>
      <c r="L487">
        <v>1</v>
      </c>
      <c r="M487">
        <v>5</v>
      </c>
      <c r="N487">
        <v>7.862794461</v>
      </c>
      <c r="O487">
        <v>40</v>
      </c>
      <c r="P487">
        <v>-5</v>
      </c>
      <c r="Q487">
        <v>45</v>
      </c>
      <c r="R487">
        <v>-21440</v>
      </c>
      <c r="S487">
        <v>3960</v>
      </c>
      <c r="T487">
        <v>0</v>
      </c>
      <c r="U487">
        <v>0</v>
      </c>
      <c r="V487" t="s">
        <v>34</v>
      </c>
      <c r="W487">
        <v>-21440</v>
      </c>
      <c r="X487">
        <v>3960</v>
      </c>
      <c r="Y487">
        <v>0</v>
      </c>
      <c r="Z487">
        <v>2.7341720999999999E-2</v>
      </c>
      <c r="AA487">
        <v>25400</v>
      </c>
      <c r="AB487">
        <v>0.01</v>
      </c>
      <c r="AC487">
        <v>0</v>
      </c>
      <c r="AD487">
        <v>0</v>
      </c>
      <c r="AE487">
        <v>0</v>
      </c>
      <c r="AF487">
        <v>0</v>
      </c>
      <c r="AG487">
        <v>25400</v>
      </c>
      <c r="AH487">
        <f t="shared" si="7"/>
        <v>0</v>
      </c>
    </row>
    <row r="488" spans="1:34" x14ac:dyDescent="0.25">
      <c r="A488" s="1">
        <v>44201</v>
      </c>
      <c r="B488">
        <v>542</v>
      </c>
      <c r="C488">
        <v>1.1194030000000001E-2</v>
      </c>
      <c r="D488">
        <v>797</v>
      </c>
      <c r="E488">
        <v>6.3131309999999996E-3</v>
      </c>
      <c r="F488">
        <v>4.8808990000000002E-3</v>
      </c>
      <c r="G488">
        <v>4.8808990000000002E-3</v>
      </c>
      <c r="H488">
        <v>6.922096E-3</v>
      </c>
      <c r="I488">
        <v>2.6666154000000001E-2</v>
      </c>
      <c r="J488">
        <v>1</v>
      </c>
      <c r="K488">
        <v>0</v>
      </c>
      <c r="L488">
        <v>-1</v>
      </c>
      <c r="M488">
        <v>5</v>
      </c>
      <c r="N488">
        <v>0.82931094500000002</v>
      </c>
      <c r="O488">
        <v>-40</v>
      </c>
      <c r="P488">
        <v>5</v>
      </c>
      <c r="Q488">
        <v>45</v>
      </c>
      <c r="R488">
        <v>21680</v>
      </c>
      <c r="S488">
        <v>-3985</v>
      </c>
      <c r="T488">
        <v>240</v>
      </c>
      <c r="U488">
        <v>-25</v>
      </c>
      <c r="V488" t="s">
        <v>35</v>
      </c>
      <c r="W488">
        <v>21680</v>
      </c>
      <c r="X488">
        <v>-3985</v>
      </c>
      <c r="Y488">
        <v>215</v>
      </c>
      <c r="Z488">
        <v>2.6666154000000001E-2</v>
      </c>
      <c r="AA488">
        <v>25665</v>
      </c>
      <c r="AB488">
        <v>0.01</v>
      </c>
      <c r="AC488">
        <v>215</v>
      </c>
      <c r="AD488">
        <v>8.3771669999999996E-3</v>
      </c>
      <c r="AE488">
        <v>0</v>
      </c>
      <c r="AF488">
        <v>215</v>
      </c>
      <c r="AG488">
        <v>0</v>
      </c>
      <c r="AH488">
        <f t="shared" si="7"/>
        <v>8.3771673485291253E-3</v>
      </c>
    </row>
    <row r="489" spans="1:34" x14ac:dyDescent="0.25">
      <c r="A489" s="1">
        <v>44202</v>
      </c>
      <c r="B489">
        <v>549</v>
      </c>
      <c r="C489">
        <v>1.2915128999999999E-2</v>
      </c>
      <c r="D489">
        <v>792</v>
      </c>
      <c r="E489">
        <v>-6.2735259999999998E-3</v>
      </c>
      <c r="F489">
        <v>1.9188654999999999E-2</v>
      </c>
      <c r="G489">
        <v>1.9188654999999999E-2</v>
      </c>
      <c r="H489">
        <v>3.8495909999999999E-3</v>
      </c>
      <c r="I489">
        <v>2.6274545999999999E-2</v>
      </c>
      <c r="J489">
        <v>1</v>
      </c>
      <c r="K489">
        <v>0</v>
      </c>
      <c r="L489">
        <v>0</v>
      </c>
      <c r="M489">
        <v>5</v>
      </c>
      <c r="N489">
        <v>0.70075429199999995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W489">
        <v>0</v>
      </c>
      <c r="X489">
        <v>0</v>
      </c>
      <c r="Y489">
        <v>0</v>
      </c>
      <c r="Z489">
        <v>2.6274545999999999E-2</v>
      </c>
      <c r="AA489">
        <v>0</v>
      </c>
      <c r="AB489" t="s">
        <v>33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f t="shared" si="7"/>
        <v>0</v>
      </c>
    </row>
    <row r="490" spans="1:34" x14ac:dyDescent="0.25">
      <c r="A490" s="1">
        <v>44203</v>
      </c>
      <c r="B490">
        <v>565</v>
      </c>
      <c r="C490">
        <v>2.9143898000000001E-2</v>
      </c>
      <c r="D490">
        <v>799</v>
      </c>
      <c r="E490">
        <v>8.8383839999999995E-3</v>
      </c>
      <c r="F490">
        <v>2.0305514E-2</v>
      </c>
      <c r="G490">
        <v>2.0305514E-2</v>
      </c>
      <c r="H490">
        <v>8.0969839999999998E-3</v>
      </c>
      <c r="I490">
        <v>2.6434796999999999E-2</v>
      </c>
      <c r="J490">
        <v>1</v>
      </c>
      <c r="K490">
        <v>0</v>
      </c>
      <c r="L490">
        <v>0</v>
      </c>
      <c r="M490">
        <v>5</v>
      </c>
      <c r="N490">
        <v>0.42886791000000002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W490">
        <v>0</v>
      </c>
      <c r="X490">
        <v>0</v>
      </c>
      <c r="Y490">
        <v>0</v>
      </c>
      <c r="Z490">
        <v>2.6434796999999999E-2</v>
      </c>
      <c r="AA490">
        <v>0</v>
      </c>
      <c r="AB490" t="s">
        <v>33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f t="shared" si="7"/>
        <v>0</v>
      </c>
    </row>
    <row r="491" spans="1:34" x14ac:dyDescent="0.25">
      <c r="A491" s="1">
        <v>44204</v>
      </c>
      <c r="B491">
        <v>580</v>
      </c>
      <c r="C491">
        <v>2.6548672999999998E-2</v>
      </c>
      <c r="D491">
        <v>838</v>
      </c>
      <c r="E491">
        <v>4.8811014E-2</v>
      </c>
      <c r="F491">
        <v>-2.2262341000000001E-2</v>
      </c>
      <c r="G491">
        <v>2.2262341000000001E-2</v>
      </c>
      <c r="H491">
        <v>8.8572530000000007E-3</v>
      </c>
      <c r="I491">
        <v>2.9100357E-2</v>
      </c>
      <c r="J491">
        <v>0</v>
      </c>
      <c r="K491">
        <v>0</v>
      </c>
      <c r="L491">
        <v>0</v>
      </c>
      <c r="M491">
        <v>5</v>
      </c>
      <c r="N491">
        <v>2.656385137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W491">
        <v>0</v>
      </c>
      <c r="X491">
        <v>0</v>
      </c>
      <c r="Y491">
        <v>0</v>
      </c>
      <c r="Z491">
        <v>2.9100357E-2</v>
      </c>
      <c r="AA491">
        <v>0</v>
      </c>
      <c r="AB491" t="s">
        <v>33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f t="shared" si="7"/>
        <v>0</v>
      </c>
    </row>
    <row r="492" spans="1:34" x14ac:dyDescent="0.25">
      <c r="A492" s="1">
        <v>44207</v>
      </c>
      <c r="B492">
        <v>584</v>
      </c>
      <c r="C492">
        <v>6.8965520000000002E-3</v>
      </c>
      <c r="D492">
        <v>851</v>
      </c>
      <c r="E492">
        <v>1.5513126E-2</v>
      </c>
      <c r="F492">
        <v>-8.6165749999999996E-3</v>
      </c>
      <c r="G492">
        <v>8.6165749999999996E-3</v>
      </c>
      <c r="H492">
        <v>9.8811650000000008E-3</v>
      </c>
      <c r="I492">
        <v>2.0668766000000002E-2</v>
      </c>
      <c r="J492">
        <v>0</v>
      </c>
      <c r="K492">
        <v>0</v>
      </c>
      <c r="L492">
        <v>0</v>
      </c>
      <c r="M492">
        <v>5</v>
      </c>
      <c r="N492">
        <v>3.2778120610000001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W492">
        <v>0</v>
      </c>
      <c r="X492">
        <v>0</v>
      </c>
      <c r="Y492">
        <v>0</v>
      </c>
      <c r="Z492">
        <v>2.0668766000000002E-2</v>
      </c>
      <c r="AA492">
        <v>0</v>
      </c>
      <c r="AB492" t="s">
        <v>33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f t="shared" si="7"/>
        <v>0</v>
      </c>
    </row>
    <row r="493" spans="1:34" x14ac:dyDescent="0.25">
      <c r="A493" s="1">
        <v>44208</v>
      </c>
      <c r="B493">
        <v>591</v>
      </c>
      <c r="C493">
        <v>1.1986301E-2</v>
      </c>
      <c r="D493">
        <v>846</v>
      </c>
      <c r="E493">
        <v>-5.8754410000000003E-3</v>
      </c>
      <c r="F493">
        <v>1.7861742E-2</v>
      </c>
      <c r="G493">
        <v>1.7861742E-2</v>
      </c>
      <c r="H493">
        <v>9.7636300000000006E-3</v>
      </c>
      <c r="I493">
        <v>2.2531290999999998E-2</v>
      </c>
      <c r="J493">
        <v>1</v>
      </c>
      <c r="K493">
        <v>0</v>
      </c>
      <c r="L493">
        <v>0</v>
      </c>
      <c r="M493">
        <v>5</v>
      </c>
      <c r="N493">
        <v>0.70167844199999996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W493">
        <v>0</v>
      </c>
      <c r="X493">
        <v>0</v>
      </c>
      <c r="Y493">
        <v>0</v>
      </c>
      <c r="Z493">
        <v>2.2531290999999998E-2</v>
      </c>
      <c r="AA493">
        <v>0</v>
      </c>
      <c r="AB493" t="s">
        <v>33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f t="shared" si="7"/>
        <v>0</v>
      </c>
    </row>
    <row r="494" spans="1:34" x14ac:dyDescent="0.25">
      <c r="A494" s="1">
        <v>44209</v>
      </c>
      <c r="B494">
        <v>605</v>
      </c>
      <c r="C494">
        <v>2.3688662999999999E-2</v>
      </c>
      <c r="D494">
        <v>884</v>
      </c>
      <c r="E494">
        <v>4.4917258000000002E-2</v>
      </c>
      <c r="F494">
        <v>-2.1228594E-2</v>
      </c>
      <c r="G494">
        <v>2.1228594E-2</v>
      </c>
      <c r="H494">
        <v>9.6878699999999995E-3</v>
      </c>
      <c r="I494">
        <v>2.3640047000000001E-2</v>
      </c>
      <c r="J494">
        <v>0</v>
      </c>
      <c r="K494">
        <v>0</v>
      </c>
      <c r="L494">
        <v>0</v>
      </c>
      <c r="M494">
        <v>5</v>
      </c>
      <c r="N494">
        <v>2.7705728189999999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W494">
        <v>0</v>
      </c>
      <c r="X494">
        <v>0</v>
      </c>
      <c r="Y494">
        <v>0</v>
      </c>
      <c r="Z494">
        <v>2.3640047000000001E-2</v>
      </c>
      <c r="AA494">
        <v>0</v>
      </c>
      <c r="AB494" t="s">
        <v>33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f t="shared" si="7"/>
        <v>0</v>
      </c>
    </row>
    <row r="495" spans="1:34" x14ac:dyDescent="0.25">
      <c r="A495" s="1">
        <v>44210</v>
      </c>
      <c r="B495">
        <v>592</v>
      </c>
      <c r="C495">
        <v>-2.1487603000000001E-2</v>
      </c>
      <c r="D495">
        <v>861</v>
      </c>
      <c r="E495">
        <v>-2.6018099999999999E-2</v>
      </c>
      <c r="F495">
        <v>4.5304960000000002E-3</v>
      </c>
      <c r="G495">
        <v>4.5304960000000002E-3</v>
      </c>
      <c r="H495">
        <v>1.9138723999999999E-2</v>
      </c>
      <c r="I495">
        <v>3.2232190000000001E-2</v>
      </c>
      <c r="J495">
        <v>1</v>
      </c>
      <c r="K495">
        <v>0</v>
      </c>
      <c r="L495">
        <v>0</v>
      </c>
      <c r="M495">
        <v>5</v>
      </c>
      <c r="N495">
        <v>1.76103926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W495">
        <v>0</v>
      </c>
      <c r="X495">
        <v>0</v>
      </c>
      <c r="Y495">
        <v>0</v>
      </c>
      <c r="Z495">
        <v>3.2232190000000001E-2</v>
      </c>
      <c r="AA495">
        <v>0</v>
      </c>
      <c r="AB495" t="s">
        <v>33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f t="shared" si="7"/>
        <v>0</v>
      </c>
    </row>
    <row r="496" spans="1:34" x14ac:dyDescent="0.25">
      <c r="A496" s="1">
        <v>44211</v>
      </c>
      <c r="B496">
        <v>601</v>
      </c>
      <c r="C496">
        <v>1.5202703E-2</v>
      </c>
      <c r="D496">
        <v>850</v>
      </c>
      <c r="E496">
        <v>-1.2775842000000001E-2</v>
      </c>
      <c r="F496">
        <v>2.7978545E-2</v>
      </c>
      <c r="G496">
        <v>2.7978545E-2</v>
      </c>
      <c r="H496">
        <v>1.7189256999999999E-2</v>
      </c>
      <c r="I496">
        <v>2.7763374E-2</v>
      </c>
      <c r="J496">
        <v>1</v>
      </c>
      <c r="K496">
        <v>1</v>
      </c>
      <c r="L496">
        <v>1</v>
      </c>
      <c r="M496">
        <v>5</v>
      </c>
      <c r="N496">
        <v>1.18853831</v>
      </c>
      <c r="O496">
        <v>-6</v>
      </c>
      <c r="P496">
        <v>5</v>
      </c>
      <c r="Q496">
        <v>11</v>
      </c>
      <c r="R496">
        <v>3606</v>
      </c>
      <c r="S496">
        <v>-4250</v>
      </c>
      <c r="T496">
        <v>0</v>
      </c>
      <c r="U496">
        <v>0</v>
      </c>
      <c r="V496" t="s">
        <v>34</v>
      </c>
      <c r="W496">
        <v>3606</v>
      </c>
      <c r="X496">
        <v>-4250</v>
      </c>
      <c r="Y496">
        <v>0</v>
      </c>
      <c r="Z496">
        <v>2.7763374E-2</v>
      </c>
      <c r="AA496">
        <v>7856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7856</v>
      </c>
      <c r="AH496">
        <f t="shared" si="7"/>
        <v>0</v>
      </c>
    </row>
    <row r="497" spans="1:34" x14ac:dyDescent="0.25">
      <c r="A497" s="1">
        <v>44214</v>
      </c>
      <c r="B497">
        <v>607</v>
      </c>
      <c r="C497">
        <v>9.9833609999999996E-3</v>
      </c>
      <c r="D497">
        <v>844</v>
      </c>
      <c r="E497">
        <v>-7.058824E-3</v>
      </c>
      <c r="F497">
        <v>1.7042185000000001E-2</v>
      </c>
      <c r="G497">
        <v>1.7042185000000001E-2</v>
      </c>
      <c r="H497">
        <v>1.7228448E-2</v>
      </c>
      <c r="I497">
        <v>2.7077637000000002E-2</v>
      </c>
      <c r="J497">
        <v>1</v>
      </c>
      <c r="K497">
        <v>1</v>
      </c>
      <c r="L497">
        <v>0</v>
      </c>
      <c r="M497">
        <v>5</v>
      </c>
      <c r="N497">
        <v>0.98312627200000002</v>
      </c>
      <c r="O497">
        <v>6</v>
      </c>
      <c r="P497">
        <v>-5</v>
      </c>
      <c r="Q497">
        <v>11</v>
      </c>
      <c r="R497">
        <v>-3642</v>
      </c>
      <c r="S497">
        <v>4220</v>
      </c>
      <c r="T497">
        <v>-36</v>
      </c>
      <c r="U497">
        <v>-30</v>
      </c>
      <c r="V497" t="s">
        <v>37</v>
      </c>
      <c r="W497">
        <v>0</v>
      </c>
      <c r="X497">
        <v>0</v>
      </c>
      <c r="Y497">
        <v>0</v>
      </c>
      <c r="Z497">
        <v>2.7077637000000002E-2</v>
      </c>
      <c r="AA497">
        <v>7862</v>
      </c>
      <c r="AB497">
        <v>0</v>
      </c>
      <c r="AC497">
        <v>-66</v>
      </c>
      <c r="AD497">
        <v>-8.3948100000000008E-3</v>
      </c>
      <c r="AE497">
        <v>0</v>
      </c>
      <c r="AF497">
        <v>0</v>
      </c>
      <c r="AG497">
        <v>0</v>
      </c>
      <c r="AH497">
        <f t="shared" si="7"/>
        <v>0</v>
      </c>
    </row>
    <row r="498" spans="1:34" x14ac:dyDescent="0.25">
      <c r="A498" s="1">
        <v>44215</v>
      </c>
      <c r="B498">
        <v>627</v>
      </c>
      <c r="C498">
        <v>3.2948929000000002E-2</v>
      </c>
      <c r="D498">
        <v>879</v>
      </c>
      <c r="E498">
        <v>4.1469194000000001E-2</v>
      </c>
      <c r="F498">
        <v>-8.5202650000000008E-3</v>
      </c>
      <c r="G498">
        <v>8.5202650000000008E-3</v>
      </c>
      <c r="H498">
        <v>2.0683348000000001E-2</v>
      </c>
      <c r="I498">
        <v>3.2782040999999998E-2</v>
      </c>
      <c r="J498">
        <v>0</v>
      </c>
      <c r="K498">
        <v>0</v>
      </c>
      <c r="L498">
        <v>-1</v>
      </c>
      <c r="M498">
        <v>5</v>
      </c>
      <c r="N498">
        <v>1.7644348510000001</v>
      </c>
      <c r="O498">
        <v>6</v>
      </c>
      <c r="P498">
        <v>-5</v>
      </c>
      <c r="Q498">
        <v>11</v>
      </c>
      <c r="R498">
        <v>-3762</v>
      </c>
      <c r="S498">
        <v>4395</v>
      </c>
      <c r="T498">
        <v>-156</v>
      </c>
      <c r="U498">
        <v>145</v>
      </c>
      <c r="V498" t="s">
        <v>35</v>
      </c>
      <c r="W498">
        <v>-3762</v>
      </c>
      <c r="X498">
        <v>4395</v>
      </c>
      <c r="Y498">
        <v>-11</v>
      </c>
      <c r="Z498">
        <v>3.2782040999999998E-2</v>
      </c>
      <c r="AA498">
        <v>8157</v>
      </c>
      <c r="AB498">
        <v>0</v>
      </c>
      <c r="AC498">
        <v>-11</v>
      </c>
      <c r="AD498">
        <v>-1.3485350000000001E-3</v>
      </c>
      <c r="AE498">
        <v>0</v>
      </c>
      <c r="AF498">
        <v>-11</v>
      </c>
      <c r="AG498">
        <v>0</v>
      </c>
      <c r="AH498">
        <f t="shared" si="7"/>
        <v>-1.3485350006129705E-3</v>
      </c>
    </row>
    <row r="499" spans="1:34" x14ac:dyDescent="0.25">
      <c r="A499" s="1">
        <v>44216</v>
      </c>
      <c r="B499">
        <v>647</v>
      </c>
      <c r="C499">
        <v>3.1897927E-2</v>
      </c>
      <c r="D499">
        <v>872</v>
      </c>
      <c r="E499">
        <v>-7.9635950000000004E-3</v>
      </c>
      <c r="F499">
        <v>3.9861522000000003E-2</v>
      </c>
      <c r="G499">
        <v>3.9861522000000003E-2</v>
      </c>
      <c r="H499">
        <v>2.2112916999999999E-2</v>
      </c>
      <c r="I499">
        <v>2.5703176000000001E-2</v>
      </c>
      <c r="J499">
        <v>1</v>
      </c>
      <c r="K499">
        <v>1</v>
      </c>
      <c r="L499">
        <v>1</v>
      </c>
      <c r="M499">
        <v>5</v>
      </c>
      <c r="N499">
        <v>0.33647973599999997</v>
      </c>
      <c r="O499">
        <v>-2</v>
      </c>
      <c r="P499">
        <v>5</v>
      </c>
      <c r="Q499">
        <v>7</v>
      </c>
      <c r="R499">
        <v>1294</v>
      </c>
      <c r="S499">
        <v>-4360</v>
      </c>
      <c r="T499">
        <v>0</v>
      </c>
      <c r="U499">
        <v>0</v>
      </c>
      <c r="V499" t="s">
        <v>34</v>
      </c>
      <c r="W499">
        <v>1294</v>
      </c>
      <c r="X499">
        <v>-4360</v>
      </c>
      <c r="Y499">
        <v>0</v>
      </c>
      <c r="Z499">
        <v>2.5703176000000001E-2</v>
      </c>
      <c r="AA499">
        <v>5654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5654</v>
      </c>
      <c r="AH499">
        <f t="shared" si="7"/>
        <v>0</v>
      </c>
    </row>
    <row r="500" spans="1:34" x14ac:dyDescent="0.25">
      <c r="A500" s="1">
        <v>44217</v>
      </c>
      <c r="B500">
        <v>673</v>
      </c>
      <c r="C500">
        <v>4.0185471E-2</v>
      </c>
      <c r="D500">
        <v>934</v>
      </c>
      <c r="E500">
        <v>7.1100917E-2</v>
      </c>
      <c r="F500">
        <v>-3.0915445999999999E-2</v>
      </c>
      <c r="G500">
        <v>3.0915445999999999E-2</v>
      </c>
      <c r="H500">
        <v>1.2819961E-2</v>
      </c>
      <c r="I500">
        <v>3.7464147000000003E-2</v>
      </c>
      <c r="J500">
        <v>0</v>
      </c>
      <c r="K500">
        <v>0</v>
      </c>
      <c r="L500">
        <v>-1</v>
      </c>
      <c r="M500">
        <v>5</v>
      </c>
      <c r="N500">
        <v>2.455488753</v>
      </c>
      <c r="O500">
        <v>2</v>
      </c>
      <c r="P500">
        <v>-5</v>
      </c>
      <c r="Q500">
        <v>7</v>
      </c>
      <c r="R500">
        <v>-1346</v>
      </c>
      <c r="S500">
        <v>4670</v>
      </c>
      <c r="T500">
        <v>-52</v>
      </c>
      <c r="U500">
        <v>310</v>
      </c>
      <c r="V500" t="s">
        <v>35</v>
      </c>
      <c r="W500">
        <v>-1346</v>
      </c>
      <c r="X500">
        <v>4670</v>
      </c>
      <c r="Y500">
        <v>258</v>
      </c>
      <c r="Z500">
        <v>3.7464147000000003E-2</v>
      </c>
      <c r="AA500">
        <v>6016</v>
      </c>
      <c r="AB500">
        <v>0</v>
      </c>
      <c r="AC500">
        <v>258</v>
      </c>
      <c r="AD500">
        <v>4.2885637999999997E-2</v>
      </c>
      <c r="AE500">
        <v>0</v>
      </c>
      <c r="AF500">
        <v>258</v>
      </c>
      <c r="AG500">
        <v>0</v>
      </c>
      <c r="AH500">
        <f t="shared" si="7"/>
        <v>4.2885638297872342E-2</v>
      </c>
    </row>
    <row r="501" spans="1:34" x14ac:dyDescent="0.25">
      <c r="A501" s="1">
        <v>44218</v>
      </c>
      <c r="B501">
        <v>649</v>
      </c>
      <c r="C501">
        <v>-3.5661218000000001E-2</v>
      </c>
      <c r="D501">
        <v>917</v>
      </c>
      <c r="E501">
        <v>-1.8201285000000001E-2</v>
      </c>
      <c r="F501">
        <v>-1.7459934E-2</v>
      </c>
      <c r="G501">
        <v>1.7459934E-2</v>
      </c>
      <c r="H501">
        <v>3.0943275999999999E-2</v>
      </c>
      <c r="I501">
        <v>3.8601802999999997E-2</v>
      </c>
      <c r="J501">
        <v>0</v>
      </c>
      <c r="K501">
        <v>0</v>
      </c>
      <c r="L501">
        <v>0</v>
      </c>
      <c r="M501">
        <v>5</v>
      </c>
      <c r="N501">
        <v>0.72115813399999995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W501">
        <v>0</v>
      </c>
      <c r="X501">
        <v>0</v>
      </c>
      <c r="Y501">
        <v>0</v>
      </c>
      <c r="Z501">
        <v>3.8601802999999997E-2</v>
      </c>
      <c r="AA501">
        <v>0</v>
      </c>
      <c r="AB501" t="s">
        <v>33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f t="shared" si="7"/>
        <v>0</v>
      </c>
    </row>
    <row r="502" spans="1:34" x14ac:dyDescent="0.25">
      <c r="A502" s="1">
        <v>44221</v>
      </c>
      <c r="B502">
        <v>633</v>
      </c>
      <c r="C502">
        <v>-2.4653313E-2</v>
      </c>
      <c r="D502">
        <v>910</v>
      </c>
      <c r="E502">
        <v>-7.6335880000000002E-3</v>
      </c>
      <c r="F502">
        <v>-1.7019724999999999E-2</v>
      </c>
      <c r="G502">
        <v>1.7019724999999999E-2</v>
      </c>
      <c r="H502">
        <v>3.6047031E-2</v>
      </c>
      <c r="I502">
        <v>3.8687909999999999E-2</v>
      </c>
      <c r="J502">
        <v>0</v>
      </c>
      <c r="K502">
        <v>0</v>
      </c>
      <c r="L502">
        <v>0</v>
      </c>
      <c r="M502">
        <v>5</v>
      </c>
      <c r="N502">
        <v>0.44513434099999999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W502">
        <v>0</v>
      </c>
      <c r="X502">
        <v>0</v>
      </c>
      <c r="Y502">
        <v>0</v>
      </c>
      <c r="Z502">
        <v>3.8687909999999999E-2</v>
      </c>
      <c r="AA502">
        <v>0</v>
      </c>
      <c r="AB502" t="s">
        <v>33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f t="shared" si="7"/>
        <v>0</v>
      </c>
    </row>
    <row r="503" spans="1:34" x14ac:dyDescent="0.25">
      <c r="A503" s="1">
        <v>44222</v>
      </c>
      <c r="B503">
        <v>617</v>
      </c>
      <c r="C503">
        <v>-2.5276461E-2</v>
      </c>
      <c r="D503">
        <v>871</v>
      </c>
      <c r="E503">
        <v>-4.2857143E-2</v>
      </c>
      <c r="F503">
        <v>1.7580682E-2</v>
      </c>
      <c r="G503">
        <v>1.7580682E-2</v>
      </c>
      <c r="H503">
        <v>3.5757049999999999E-2</v>
      </c>
      <c r="I503">
        <v>4.2833636000000001E-2</v>
      </c>
      <c r="J503">
        <v>1</v>
      </c>
      <c r="K503">
        <v>0</v>
      </c>
      <c r="L503">
        <v>0</v>
      </c>
      <c r="M503">
        <v>5</v>
      </c>
      <c r="N503">
        <v>2.3935358299999998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W503">
        <v>0</v>
      </c>
      <c r="X503">
        <v>0</v>
      </c>
      <c r="Y503">
        <v>0</v>
      </c>
      <c r="Z503">
        <v>4.2833636000000001E-2</v>
      </c>
      <c r="AA503">
        <v>0</v>
      </c>
      <c r="AB503" t="s">
        <v>33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f t="shared" si="7"/>
        <v>0</v>
      </c>
    </row>
    <row r="504" spans="1:34" x14ac:dyDescent="0.25">
      <c r="A504" s="1">
        <v>44223</v>
      </c>
      <c r="B504">
        <v>615</v>
      </c>
      <c r="C504">
        <v>-3.241491E-3</v>
      </c>
      <c r="D504">
        <v>897</v>
      </c>
      <c r="E504">
        <v>2.9850746000000001E-2</v>
      </c>
      <c r="F504">
        <v>-3.3092236999999997E-2</v>
      </c>
      <c r="G504">
        <v>3.3092236999999997E-2</v>
      </c>
      <c r="H504">
        <v>3.0292247000000001E-2</v>
      </c>
      <c r="I504">
        <v>4.4622202E-2</v>
      </c>
      <c r="J504">
        <v>0</v>
      </c>
      <c r="K504">
        <v>0</v>
      </c>
      <c r="L504">
        <v>0</v>
      </c>
      <c r="M504">
        <v>5</v>
      </c>
      <c r="N504">
        <v>13.431598109999999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W504">
        <v>0</v>
      </c>
      <c r="X504">
        <v>0</v>
      </c>
      <c r="Y504">
        <v>0</v>
      </c>
      <c r="Z504">
        <v>4.4622202E-2</v>
      </c>
      <c r="AA504">
        <v>0</v>
      </c>
      <c r="AB504" t="s">
        <v>33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f t="shared" si="7"/>
        <v>0</v>
      </c>
    </row>
    <row r="505" spans="1:34" x14ac:dyDescent="0.25">
      <c r="A505" s="1">
        <v>44224</v>
      </c>
      <c r="B505">
        <v>601</v>
      </c>
      <c r="C505">
        <v>-2.2764228000000001E-2</v>
      </c>
      <c r="D505">
        <v>869</v>
      </c>
      <c r="E505">
        <v>-3.1215162000000001E-2</v>
      </c>
      <c r="F505">
        <v>8.4509340000000002E-3</v>
      </c>
      <c r="G505">
        <v>8.4509340000000002E-3</v>
      </c>
      <c r="H505">
        <v>1.1793642E-2</v>
      </c>
      <c r="I505">
        <v>2.7884430000000002E-2</v>
      </c>
      <c r="J505">
        <v>1</v>
      </c>
      <c r="K505">
        <v>0</v>
      </c>
      <c r="L505">
        <v>0</v>
      </c>
      <c r="M505">
        <v>5</v>
      </c>
      <c r="N505">
        <v>1.9827044110000001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W505">
        <v>0</v>
      </c>
      <c r="X505">
        <v>0</v>
      </c>
      <c r="Y505">
        <v>0</v>
      </c>
      <c r="Z505">
        <v>2.7884430000000002E-2</v>
      </c>
      <c r="AA505">
        <v>0</v>
      </c>
      <c r="AB505" t="s">
        <v>33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f t="shared" si="7"/>
        <v>0</v>
      </c>
    </row>
    <row r="506" spans="1:34" x14ac:dyDescent="0.25">
      <c r="A506" s="1">
        <v>44225</v>
      </c>
      <c r="B506">
        <v>591</v>
      </c>
      <c r="C506">
        <v>-1.6638935000000001E-2</v>
      </c>
      <c r="D506">
        <v>875</v>
      </c>
      <c r="E506">
        <v>6.9044880000000003E-3</v>
      </c>
      <c r="F506">
        <v>-2.3543423000000001E-2</v>
      </c>
      <c r="G506">
        <v>2.3543423000000001E-2</v>
      </c>
      <c r="H506">
        <v>9.1958130000000006E-3</v>
      </c>
      <c r="I506">
        <v>2.9171987E-2</v>
      </c>
      <c r="J506">
        <v>0</v>
      </c>
      <c r="K506">
        <v>0</v>
      </c>
      <c r="L506">
        <v>0</v>
      </c>
      <c r="M506">
        <v>5</v>
      </c>
      <c r="N506">
        <v>0.61436507299999998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W506">
        <v>0</v>
      </c>
      <c r="X506">
        <v>0</v>
      </c>
      <c r="Y506">
        <v>0</v>
      </c>
      <c r="Z506">
        <v>2.9171987E-2</v>
      </c>
      <c r="AA506">
        <v>0</v>
      </c>
      <c r="AB506" t="s">
        <v>33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f t="shared" si="7"/>
        <v>0</v>
      </c>
    </row>
    <row r="507" spans="1:34" x14ac:dyDescent="0.25">
      <c r="A507" s="1">
        <v>44228</v>
      </c>
      <c r="B507">
        <v>611</v>
      </c>
      <c r="C507">
        <v>3.3840948000000003E-2</v>
      </c>
      <c r="D507">
        <v>905</v>
      </c>
      <c r="E507">
        <v>3.4285714000000002E-2</v>
      </c>
      <c r="F507">
        <v>-4.4476699999999999E-4</v>
      </c>
      <c r="G507">
        <v>4.4476699999999999E-4</v>
      </c>
      <c r="H507">
        <v>2.4276476000000002E-2</v>
      </c>
      <c r="I507">
        <v>3.5083943999999999E-2</v>
      </c>
      <c r="J507">
        <v>0</v>
      </c>
      <c r="K507">
        <v>0</v>
      </c>
      <c r="L507">
        <v>0</v>
      </c>
      <c r="M507">
        <v>5</v>
      </c>
      <c r="N507">
        <v>1.5006453120000001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W507">
        <v>0</v>
      </c>
      <c r="X507">
        <v>0</v>
      </c>
      <c r="Y507">
        <v>0</v>
      </c>
      <c r="Z507">
        <v>3.5083943999999999E-2</v>
      </c>
      <c r="AA507">
        <v>0</v>
      </c>
      <c r="AB507" t="s">
        <v>33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f t="shared" si="7"/>
        <v>0</v>
      </c>
    </row>
    <row r="508" spans="1:34" x14ac:dyDescent="0.25">
      <c r="A508" s="1">
        <v>44229</v>
      </c>
      <c r="B508">
        <v>632</v>
      </c>
      <c r="C508">
        <v>3.4369885000000003E-2</v>
      </c>
      <c r="D508">
        <v>931</v>
      </c>
      <c r="E508">
        <v>2.8729281999999998E-2</v>
      </c>
      <c r="F508">
        <v>5.6406039999999996E-3</v>
      </c>
      <c r="G508">
        <v>5.6406039999999996E-3</v>
      </c>
      <c r="H508">
        <v>2.7392263E-2</v>
      </c>
      <c r="I508">
        <v>2.7267415E-2</v>
      </c>
      <c r="J508">
        <v>1</v>
      </c>
      <c r="K508">
        <v>0</v>
      </c>
      <c r="L508">
        <v>0</v>
      </c>
      <c r="M508">
        <v>5</v>
      </c>
      <c r="N508">
        <v>1.231343684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W508">
        <v>0</v>
      </c>
      <c r="X508">
        <v>0</v>
      </c>
      <c r="Y508">
        <v>0</v>
      </c>
      <c r="Z508">
        <v>2.7392263E-2</v>
      </c>
      <c r="AA508">
        <v>0</v>
      </c>
      <c r="AB508" t="s">
        <v>33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f t="shared" si="7"/>
        <v>0</v>
      </c>
    </row>
    <row r="509" spans="1:34" x14ac:dyDescent="0.25">
      <c r="A509" s="1">
        <v>44230</v>
      </c>
      <c r="B509">
        <v>630</v>
      </c>
      <c r="C509">
        <v>-3.1645570000000001E-3</v>
      </c>
      <c r="D509">
        <v>950</v>
      </c>
      <c r="E509">
        <v>2.0408163E-2</v>
      </c>
      <c r="F509">
        <v>-2.3572719999999998E-2</v>
      </c>
      <c r="G509">
        <v>2.3572719999999998E-2</v>
      </c>
      <c r="H509">
        <v>2.7386417999999999E-2</v>
      </c>
      <c r="I509">
        <v>2.6175256000000001E-2</v>
      </c>
      <c r="J509">
        <v>0</v>
      </c>
      <c r="K509">
        <v>0</v>
      </c>
      <c r="L509">
        <v>0</v>
      </c>
      <c r="M509">
        <v>5</v>
      </c>
      <c r="N509">
        <v>9.7246517650000008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W509">
        <v>0</v>
      </c>
      <c r="X509">
        <v>0</v>
      </c>
      <c r="Y509">
        <v>0</v>
      </c>
      <c r="Z509">
        <v>2.7386417999999999E-2</v>
      </c>
      <c r="AA509">
        <v>0</v>
      </c>
      <c r="AB509" t="s">
        <v>33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f t="shared" si="7"/>
        <v>0</v>
      </c>
    </row>
    <row r="510" spans="1:34" x14ac:dyDescent="0.25">
      <c r="A510" s="1">
        <v>44231</v>
      </c>
      <c r="B510">
        <v>627</v>
      </c>
      <c r="C510">
        <v>-4.7619050000000003E-3</v>
      </c>
      <c r="D510">
        <v>946</v>
      </c>
      <c r="E510">
        <v>-4.210526E-3</v>
      </c>
      <c r="F510">
        <v>-5.5137800000000005E-4</v>
      </c>
      <c r="G510">
        <v>5.5137800000000005E-4</v>
      </c>
      <c r="H510">
        <v>2.3743726999999999E-2</v>
      </c>
      <c r="I510">
        <v>1.5807781E-2</v>
      </c>
      <c r="J510">
        <v>0</v>
      </c>
      <c r="K510">
        <v>0</v>
      </c>
      <c r="L510">
        <v>0</v>
      </c>
      <c r="M510">
        <v>5</v>
      </c>
      <c r="N510">
        <v>1.334072022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W510">
        <v>0</v>
      </c>
      <c r="X510">
        <v>0</v>
      </c>
      <c r="Y510">
        <v>0</v>
      </c>
      <c r="Z510">
        <v>2.3743726999999999E-2</v>
      </c>
      <c r="AA510">
        <v>0</v>
      </c>
      <c r="AB510" t="s">
        <v>33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f t="shared" si="7"/>
        <v>0</v>
      </c>
    </row>
    <row r="511" spans="1:34" x14ac:dyDescent="0.25">
      <c r="A511" s="1">
        <v>44232</v>
      </c>
      <c r="B511">
        <v>632</v>
      </c>
      <c r="C511">
        <v>7.9744819999999998E-3</v>
      </c>
      <c r="D511">
        <v>950</v>
      </c>
      <c r="E511">
        <v>4.2283299999999998E-3</v>
      </c>
      <c r="F511">
        <v>3.746152E-3</v>
      </c>
      <c r="G511">
        <v>3.746152E-3</v>
      </c>
      <c r="H511">
        <v>1.9306262000000001E-2</v>
      </c>
      <c r="I511">
        <v>1.6282686000000001E-2</v>
      </c>
      <c r="J511">
        <v>1</v>
      </c>
      <c r="K511">
        <v>0</v>
      </c>
      <c r="L511">
        <v>0</v>
      </c>
      <c r="M511">
        <v>5</v>
      </c>
      <c r="N511">
        <v>0.79702678800000004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W511">
        <v>0</v>
      </c>
      <c r="X511">
        <v>0</v>
      </c>
      <c r="Y511">
        <v>0</v>
      </c>
      <c r="Z511">
        <v>1.9306262000000001E-2</v>
      </c>
      <c r="AA511">
        <v>0</v>
      </c>
      <c r="AB511" t="s">
        <v>33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f t="shared" si="7"/>
        <v>0</v>
      </c>
    </row>
    <row r="512" spans="1:34" x14ac:dyDescent="0.25">
      <c r="A512" s="1">
        <v>44244</v>
      </c>
      <c r="B512">
        <v>663</v>
      </c>
      <c r="C512">
        <v>4.9050633000000003E-2</v>
      </c>
      <c r="D512">
        <v>980</v>
      </c>
      <c r="E512">
        <v>3.1578947000000003E-2</v>
      </c>
      <c r="F512">
        <v>1.7471686E-2</v>
      </c>
      <c r="G512">
        <v>1.7471686E-2</v>
      </c>
      <c r="H512">
        <v>2.3927687E-2</v>
      </c>
      <c r="I512">
        <v>1.5581238000000001E-2</v>
      </c>
      <c r="J512">
        <v>1</v>
      </c>
      <c r="K512">
        <v>0</v>
      </c>
      <c r="L512">
        <v>0</v>
      </c>
      <c r="M512">
        <v>5</v>
      </c>
      <c r="N512">
        <v>0.95162442700000005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W512">
        <v>0</v>
      </c>
      <c r="X512">
        <v>0</v>
      </c>
      <c r="Y512">
        <v>0</v>
      </c>
      <c r="Z512">
        <v>2.3927687E-2</v>
      </c>
      <c r="AA512">
        <v>0</v>
      </c>
      <c r="AB512" t="s">
        <v>33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f t="shared" si="7"/>
        <v>0</v>
      </c>
    </row>
    <row r="513" spans="1:34" x14ac:dyDescent="0.25">
      <c r="A513" s="1">
        <v>44245</v>
      </c>
      <c r="B513">
        <v>660</v>
      </c>
      <c r="C513">
        <v>-4.524887E-3</v>
      </c>
      <c r="D513">
        <v>978</v>
      </c>
      <c r="E513">
        <v>-2.040816E-3</v>
      </c>
      <c r="F513">
        <v>-2.484071E-3</v>
      </c>
      <c r="G513">
        <v>2.484071E-3</v>
      </c>
      <c r="H513">
        <v>2.30508E-2</v>
      </c>
      <c r="I513">
        <v>1.5445169999999999E-2</v>
      </c>
      <c r="J513">
        <v>0</v>
      </c>
      <c r="K513">
        <v>0</v>
      </c>
      <c r="L513">
        <v>0</v>
      </c>
      <c r="M513">
        <v>5</v>
      </c>
      <c r="N513">
        <v>0.66833024100000005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W513">
        <v>0</v>
      </c>
      <c r="X513">
        <v>0</v>
      </c>
      <c r="Y513">
        <v>0</v>
      </c>
      <c r="Z513">
        <v>2.30508E-2</v>
      </c>
      <c r="AA513">
        <v>0</v>
      </c>
      <c r="AB513" t="s">
        <v>33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f t="shared" si="7"/>
        <v>0</v>
      </c>
    </row>
    <row r="514" spans="1:34" x14ac:dyDescent="0.25">
      <c r="A514" s="1">
        <v>44246</v>
      </c>
      <c r="B514">
        <v>652</v>
      </c>
      <c r="C514">
        <v>-1.2121211999999999E-2</v>
      </c>
      <c r="D514">
        <v>964</v>
      </c>
      <c r="E514">
        <v>-1.4314927999999999E-2</v>
      </c>
      <c r="F514">
        <v>2.1937160000000001E-3</v>
      </c>
      <c r="G514">
        <v>2.1937160000000001E-3</v>
      </c>
      <c r="H514">
        <v>2.4525066000000002E-2</v>
      </c>
      <c r="I514">
        <v>1.7287725E-2</v>
      </c>
      <c r="J514">
        <v>1</v>
      </c>
      <c r="K514">
        <v>0</v>
      </c>
      <c r="L514">
        <v>0</v>
      </c>
      <c r="M514">
        <v>5</v>
      </c>
      <c r="N514">
        <v>1.7461138919999999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W514">
        <v>0</v>
      </c>
      <c r="X514">
        <v>0</v>
      </c>
      <c r="Y514">
        <v>0</v>
      </c>
      <c r="Z514">
        <v>2.4525066000000002E-2</v>
      </c>
      <c r="AA514">
        <v>0</v>
      </c>
      <c r="AB514" t="s">
        <v>33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f t="shared" si="7"/>
        <v>0</v>
      </c>
    </row>
    <row r="515" spans="1:34" x14ac:dyDescent="0.25">
      <c r="A515" s="1">
        <v>44249</v>
      </c>
      <c r="B515">
        <v>650</v>
      </c>
      <c r="C515">
        <v>-3.067485E-3</v>
      </c>
      <c r="D515">
        <v>951</v>
      </c>
      <c r="E515">
        <v>-1.3485476999999999E-2</v>
      </c>
      <c r="F515">
        <v>1.0417993E-2</v>
      </c>
      <c r="G515">
        <v>1.0417993E-2</v>
      </c>
      <c r="H515">
        <v>2.4330714999999999E-2</v>
      </c>
      <c r="I515">
        <v>1.8701137E-2</v>
      </c>
      <c r="J515">
        <v>1</v>
      </c>
      <c r="K515">
        <v>0</v>
      </c>
      <c r="L515">
        <v>0</v>
      </c>
      <c r="M515">
        <v>5</v>
      </c>
      <c r="N515">
        <v>6.4320746890000002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W515">
        <v>0</v>
      </c>
      <c r="X515">
        <v>0</v>
      </c>
      <c r="Y515">
        <v>0</v>
      </c>
      <c r="Z515">
        <v>2.4330714999999999E-2</v>
      </c>
      <c r="AA515">
        <v>0</v>
      </c>
      <c r="AB515" t="s">
        <v>33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f t="shared" ref="AH515:AH578" si="8">IF(AF515&lt;&gt;0,AF515/AA515,0)</f>
        <v>0</v>
      </c>
    </row>
    <row r="516" spans="1:34" x14ac:dyDescent="0.25">
      <c r="A516" s="1">
        <v>44250</v>
      </c>
      <c r="B516">
        <v>641</v>
      </c>
      <c r="C516">
        <v>-1.3846153999999999E-2</v>
      </c>
      <c r="D516">
        <v>965</v>
      </c>
      <c r="E516">
        <v>1.4721346E-2</v>
      </c>
      <c r="F516">
        <v>-2.8567499999999999E-2</v>
      </c>
      <c r="G516">
        <v>2.8567499999999999E-2</v>
      </c>
      <c r="H516">
        <v>2.6107924000000001E-2</v>
      </c>
      <c r="I516">
        <v>1.9689515000000001E-2</v>
      </c>
      <c r="J516">
        <v>0</v>
      </c>
      <c r="K516">
        <v>1</v>
      </c>
      <c r="L516">
        <v>1</v>
      </c>
      <c r="M516">
        <v>5</v>
      </c>
      <c r="N516">
        <v>1.6006178280000001</v>
      </c>
      <c r="O516">
        <v>9</v>
      </c>
      <c r="P516">
        <v>-5</v>
      </c>
      <c r="Q516">
        <v>14</v>
      </c>
      <c r="R516">
        <v>-5769</v>
      </c>
      <c r="S516">
        <v>4825</v>
      </c>
      <c r="T516">
        <v>0</v>
      </c>
      <c r="U516">
        <v>0</v>
      </c>
      <c r="V516" t="s">
        <v>34</v>
      </c>
      <c r="W516">
        <v>-5769</v>
      </c>
      <c r="X516">
        <v>4825</v>
      </c>
      <c r="Y516">
        <v>0</v>
      </c>
      <c r="Z516">
        <v>2.6107924000000001E-2</v>
      </c>
      <c r="AA516">
        <v>10594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10594</v>
      </c>
      <c r="AH516">
        <f t="shared" si="8"/>
        <v>0</v>
      </c>
    </row>
    <row r="517" spans="1:34" x14ac:dyDescent="0.25">
      <c r="A517" s="1">
        <v>44251</v>
      </c>
      <c r="B517">
        <v>625</v>
      </c>
      <c r="C517">
        <v>-2.4960998000000002E-2</v>
      </c>
      <c r="D517">
        <v>940</v>
      </c>
      <c r="E517">
        <v>-2.5906736E-2</v>
      </c>
      <c r="F517">
        <v>9.4573699999999999E-4</v>
      </c>
      <c r="G517">
        <v>9.4573699999999999E-4</v>
      </c>
      <c r="H517">
        <v>8.7555689999999995E-3</v>
      </c>
      <c r="I517">
        <v>1.534748E-2</v>
      </c>
      <c r="J517">
        <v>1</v>
      </c>
      <c r="K517">
        <v>0</v>
      </c>
      <c r="L517">
        <v>-1</v>
      </c>
      <c r="M517">
        <v>5</v>
      </c>
      <c r="N517">
        <v>1.5609844559999999</v>
      </c>
      <c r="O517">
        <v>-9</v>
      </c>
      <c r="P517">
        <v>5</v>
      </c>
      <c r="Q517">
        <v>14</v>
      </c>
      <c r="R517">
        <v>5625</v>
      </c>
      <c r="S517">
        <v>-4700</v>
      </c>
      <c r="T517">
        <v>-144</v>
      </c>
      <c r="U517">
        <v>125</v>
      </c>
      <c r="V517" t="s">
        <v>35</v>
      </c>
      <c r="W517">
        <v>5625</v>
      </c>
      <c r="X517">
        <v>-4700</v>
      </c>
      <c r="Y517">
        <v>-19</v>
      </c>
      <c r="Z517">
        <v>1.534748E-2</v>
      </c>
      <c r="AA517">
        <v>10325</v>
      </c>
      <c r="AB517">
        <v>0</v>
      </c>
      <c r="AC517">
        <v>-19</v>
      </c>
      <c r="AD517">
        <v>-1.8401940000000001E-3</v>
      </c>
      <c r="AE517">
        <v>0</v>
      </c>
      <c r="AF517">
        <v>-19</v>
      </c>
      <c r="AG517">
        <v>0</v>
      </c>
      <c r="AH517">
        <f t="shared" si="8"/>
        <v>-1.8401937046004842E-3</v>
      </c>
    </row>
    <row r="518" spans="1:34" x14ac:dyDescent="0.25">
      <c r="A518" s="1">
        <v>44252</v>
      </c>
      <c r="B518">
        <v>635</v>
      </c>
      <c r="C518">
        <v>1.6E-2</v>
      </c>
      <c r="D518">
        <v>944</v>
      </c>
      <c r="E518">
        <v>4.2553189999999996E-3</v>
      </c>
      <c r="F518">
        <v>1.1744681E-2</v>
      </c>
      <c r="G518">
        <v>1.1744681E-2</v>
      </c>
      <c r="H518">
        <v>1.5316362E-2</v>
      </c>
      <c r="I518">
        <v>1.6213564999999999E-2</v>
      </c>
      <c r="J518">
        <v>1</v>
      </c>
      <c r="K518">
        <v>0</v>
      </c>
      <c r="L518">
        <v>0</v>
      </c>
      <c r="M518">
        <v>5</v>
      </c>
      <c r="N518">
        <v>0.39537611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W518">
        <v>0</v>
      </c>
      <c r="X518">
        <v>0</v>
      </c>
      <c r="Y518">
        <v>0</v>
      </c>
      <c r="Z518">
        <v>1.6213564999999999E-2</v>
      </c>
      <c r="AA518">
        <v>0</v>
      </c>
      <c r="AB518" t="s">
        <v>33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f t="shared" si="8"/>
        <v>0</v>
      </c>
    </row>
    <row r="519" spans="1:34" x14ac:dyDescent="0.25">
      <c r="A519" s="1">
        <v>44253</v>
      </c>
      <c r="B519">
        <v>606</v>
      </c>
      <c r="C519">
        <v>-4.5669291000000001E-2</v>
      </c>
      <c r="D519">
        <v>896</v>
      </c>
      <c r="E519">
        <v>-5.0847457999999998E-2</v>
      </c>
      <c r="F519">
        <v>5.1781659999999997E-3</v>
      </c>
      <c r="G519">
        <v>5.1781659999999997E-3</v>
      </c>
      <c r="H519">
        <v>2.3141706000000001E-2</v>
      </c>
      <c r="I519">
        <v>2.5776072000000001E-2</v>
      </c>
      <c r="J519">
        <v>1</v>
      </c>
      <c r="K519">
        <v>0</v>
      </c>
      <c r="L519">
        <v>0</v>
      </c>
      <c r="M519">
        <v>5</v>
      </c>
      <c r="N519">
        <v>1.6461915039999999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W519">
        <v>0</v>
      </c>
      <c r="X519">
        <v>0</v>
      </c>
      <c r="Y519">
        <v>0</v>
      </c>
      <c r="Z519">
        <v>2.5776072000000001E-2</v>
      </c>
      <c r="AA519">
        <v>0</v>
      </c>
      <c r="AB519" t="s">
        <v>33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f t="shared" si="8"/>
        <v>0</v>
      </c>
    </row>
    <row r="520" spans="1:34" x14ac:dyDescent="0.25">
      <c r="A520" s="1">
        <v>44257</v>
      </c>
      <c r="B520">
        <v>609</v>
      </c>
      <c r="C520">
        <v>4.9504950000000001E-3</v>
      </c>
      <c r="D520">
        <v>900</v>
      </c>
      <c r="E520">
        <v>4.4642859999999996E-3</v>
      </c>
      <c r="F520">
        <v>4.8620899999999998E-4</v>
      </c>
      <c r="G520">
        <v>4.8620899999999998E-4</v>
      </c>
      <c r="H520">
        <v>2.4361085000000001E-2</v>
      </c>
      <c r="I520">
        <v>2.7124334999999999E-2</v>
      </c>
      <c r="J520">
        <v>1</v>
      </c>
      <c r="K520">
        <v>0</v>
      </c>
      <c r="L520">
        <v>0</v>
      </c>
      <c r="M520">
        <v>5</v>
      </c>
      <c r="N520">
        <v>1.332688248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W520">
        <v>0</v>
      </c>
      <c r="X520">
        <v>0</v>
      </c>
      <c r="Y520">
        <v>0</v>
      </c>
      <c r="Z520">
        <v>2.7124334999999999E-2</v>
      </c>
      <c r="AA520">
        <v>0</v>
      </c>
      <c r="AB520" t="s">
        <v>33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f t="shared" si="8"/>
        <v>0</v>
      </c>
    </row>
    <row r="521" spans="1:34" x14ac:dyDescent="0.25">
      <c r="A521" s="1">
        <v>44258</v>
      </c>
      <c r="B521">
        <v>622</v>
      </c>
      <c r="C521">
        <v>2.1346469999999999E-2</v>
      </c>
      <c r="D521">
        <v>930</v>
      </c>
      <c r="E521">
        <v>3.3333333E-2</v>
      </c>
      <c r="F521">
        <v>-1.1986864E-2</v>
      </c>
      <c r="G521">
        <v>1.1986864E-2</v>
      </c>
      <c r="H521">
        <v>2.8654664999999999E-2</v>
      </c>
      <c r="I521">
        <v>3.2268157999999998E-2</v>
      </c>
      <c r="J521">
        <v>0</v>
      </c>
      <c r="K521">
        <v>0</v>
      </c>
      <c r="L521">
        <v>0</v>
      </c>
      <c r="M521">
        <v>5</v>
      </c>
      <c r="N521">
        <v>2.3347761560000002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W521">
        <v>0</v>
      </c>
      <c r="X521">
        <v>0</v>
      </c>
      <c r="Y521">
        <v>0</v>
      </c>
      <c r="Z521">
        <v>3.2268157999999998E-2</v>
      </c>
      <c r="AA521">
        <v>0</v>
      </c>
      <c r="AB521" t="s">
        <v>33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f t="shared" si="8"/>
        <v>0</v>
      </c>
    </row>
    <row r="522" spans="1:34" x14ac:dyDescent="0.25">
      <c r="A522" s="1">
        <v>44259</v>
      </c>
      <c r="B522">
        <v>601</v>
      </c>
      <c r="C522">
        <v>-3.3762057999999998E-2</v>
      </c>
      <c r="D522">
        <v>897</v>
      </c>
      <c r="E522">
        <v>-3.5483871E-2</v>
      </c>
      <c r="F522">
        <v>1.721813E-3</v>
      </c>
      <c r="G522">
        <v>1.721813E-3</v>
      </c>
      <c r="H522">
        <v>3.0356002E-2</v>
      </c>
      <c r="I522">
        <v>3.3917557000000001E-2</v>
      </c>
      <c r="J522">
        <v>1</v>
      </c>
      <c r="K522">
        <v>0</v>
      </c>
      <c r="L522">
        <v>0</v>
      </c>
      <c r="M522">
        <v>5</v>
      </c>
      <c r="N522">
        <v>1.568628323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W522">
        <v>0</v>
      </c>
      <c r="X522">
        <v>0</v>
      </c>
      <c r="Y522">
        <v>0</v>
      </c>
      <c r="Z522">
        <v>3.3917557000000001E-2</v>
      </c>
      <c r="AA522">
        <v>0</v>
      </c>
      <c r="AB522" t="s">
        <v>33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f t="shared" si="8"/>
        <v>0</v>
      </c>
    </row>
    <row r="523" spans="1:34" x14ac:dyDescent="0.25">
      <c r="A523" s="1">
        <v>44260</v>
      </c>
      <c r="B523">
        <v>601</v>
      </c>
      <c r="C523">
        <v>0</v>
      </c>
      <c r="D523">
        <v>883</v>
      </c>
      <c r="E523">
        <v>-1.5607581000000001E-2</v>
      </c>
      <c r="F523">
        <v>1.5607581000000001E-2</v>
      </c>
      <c r="G523">
        <v>1.5607581000000001E-2</v>
      </c>
      <c r="H523">
        <v>2.8022702E-2</v>
      </c>
      <c r="I523">
        <v>3.3152622999999999E-2</v>
      </c>
      <c r="J523">
        <v>1</v>
      </c>
      <c r="K523">
        <v>0</v>
      </c>
      <c r="L523">
        <v>0</v>
      </c>
      <c r="M523">
        <v>5</v>
      </c>
      <c r="N523" t="s">
        <v>36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W523">
        <v>0</v>
      </c>
      <c r="X523">
        <v>0</v>
      </c>
      <c r="Y523">
        <v>0</v>
      </c>
      <c r="Z523">
        <v>3.3152622999999999E-2</v>
      </c>
      <c r="AA523">
        <v>0</v>
      </c>
      <c r="AB523" t="s">
        <v>33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f t="shared" si="8"/>
        <v>0</v>
      </c>
    </row>
    <row r="524" spans="1:34" x14ac:dyDescent="0.25">
      <c r="A524" s="1">
        <v>44263</v>
      </c>
      <c r="B524">
        <v>598</v>
      </c>
      <c r="C524">
        <v>-4.9916810000000004E-3</v>
      </c>
      <c r="D524">
        <v>867</v>
      </c>
      <c r="E524">
        <v>-1.8120045000000001E-2</v>
      </c>
      <c r="F524">
        <v>1.3128364999999999E-2</v>
      </c>
      <c r="G524">
        <v>1.3128364999999999E-2</v>
      </c>
      <c r="H524">
        <v>2.0086926000000001E-2</v>
      </c>
      <c r="I524">
        <v>2.6290266E-2</v>
      </c>
      <c r="J524">
        <v>1</v>
      </c>
      <c r="K524">
        <v>0</v>
      </c>
      <c r="L524">
        <v>0</v>
      </c>
      <c r="M524">
        <v>5</v>
      </c>
      <c r="N524">
        <v>5.262964127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W524">
        <v>0</v>
      </c>
      <c r="X524">
        <v>0</v>
      </c>
      <c r="Y524">
        <v>0</v>
      </c>
      <c r="Z524">
        <v>2.6290266E-2</v>
      </c>
      <c r="AA524">
        <v>0</v>
      </c>
      <c r="AB524" t="s">
        <v>33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f t="shared" si="8"/>
        <v>0</v>
      </c>
    </row>
    <row r="525" spans="1:34" x14ac:dyDescent="0.25">
      <c r="A525" s="1">
        <v>44264</v>
      </c>
      <c r="B525">
        <v>595</v>
      </c>
      <c r="C525">
        <v>-5.0167220000000004E-3</v>
      </c>
      <c r="D525">
        <v>879</v>
      </c>
      <c r="E525">
        <v>1.384083E-2</v>
      </c>
      <c r="F525">
        <v>-1.8857552999999999E-2</v>
      </c>
      <c r="G525">
        <v>1.8857552999999999E-2</v>
      </c>
      <c r="H525">
        <v>1.9653660999999999E-2</v>
      </c>
      <c r="I525">
        <v>2.7552625000000001E-2</v>
      </c>
      <c r="J525">
        <v>0</v>
      </c>
      <c r="K525">
        <v>0</v>
      </c>
      <c r="L525">
        <v>0</v>
      </c>
      <c r="M525">
        <v>5</v>
      </c>
      <c r="N525">
        <v>4.0758105320000002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W525">
        <v>0</v>
      </c>
      <c r="X525">
        <v>0</v>
      </c>
      <c r="Y525">
        <v>0</v>
      </c>
      <c r="Z525">
        <v>2.7552625000000001E-2</v>
      </c>
      <c r="AA525">
        <v>0</v>
      </c>
      <c r="AB525" t="s">
        <v>33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f t="shared" si="8"/>
        <v>0</v>
      </c>
    </row>
    <row r="526" spans="1:34" x14ac:dyDescent="0.25">
      <c r="A526" s="1">
        <v>44265</v>
      </c>
      <c r="B526">
        <v>597</v>
      </c>
      <c r="C526">
        <v>3.361345E-3</v>
      </c>
      <c r="D526">
        <v>864</v>
      </c>
      <c r="E526">
        <v>-1.7064846000000002E-2</v>
      </c>
      <c r="F526">
        <v>2.0426191E-2</v>
      </c>
      <c r="G526">
        <v>2.0426191E-2</v>
      </c>
      <c r="H526">
        <v>1.4787497E-2</v>
      </c>
      <c r="I526">
        <v>1.7779443999999998E-2</v>
      </c>
      <c r="J526">
        <v>1</v>
      </c>
      <c r="K526">
        <v>1</v>
      </c>
      <c r="L526">
        <v>1</v>
      </c>
      <c r="M526">
        <v>5</v>
      </c>
      <c r="N526">
        <v>7.3473167889999997</v>
      </c>
      <c r="O526">
        <v>-37</v>
      </c>
      <c r="P526">
        <v>5</v>
      </c>
      <c r="Q526">
        <v>42</v>
      </c>
      <c r="R526">
        <v>22089</v>
      </c>
      <c r="S526">
        <v>-4320</v>
      </c>
      <c r="T526">
        <v>0</v>
      </c>
      <c r="U526">
        <v>0</v>
      </c>
      <c r="V526" t="s">
        <v>34</v>
      </c>
      <c r="W526">
        <v>22089</v>
      </c>
      <c r="X526">
        <v>-4320</v>
      </c>
      <c r="Y526">
        <v>0</v>
      </c>
      <c r="Z526">
        <v>1.7779443999999998E-2</v>
      </c>
      <c r="AA526">
        <v>26409</v>
      </c>
      <c r="AB526">
        <v>0.01</v>
      </c>
      <c r="AC526">
        <v>0</v>
      </c>
      <c r="AD526">
        <v>0</v>
      </c>
      <c r="AE526">
        <v>0</v>
      </c>
      <c r="AF526">
        <v>0</v>
      </c>
      <c r="AG526">
        <v>26409</v>
      </c>
      <c r="AH526">
        <f t="shared" si="8"/>
        <v>0</v>
      </c>
    </row>
    <row r="527" spans="1:34" x14ac:dyDescent="0.25">
      <c r="A527" s="1">
        <v>44266</v>
      </c>
      <c r="B527">
        <v>609</v>
      </c>
      <c r="C527">
        <v>2.0100502999999999E-2</v>
      </c>
      <c r="D527">
        <v>888</v>
      </c>
      <c r="E527">
        <v>2.7777777999999999E-2</v>
      </c>
      <c r="F527">
        <v>-7.6772749999999999E-3</v>
      </c>
      <c r="G527">
        <v>7.6772749999999999E-3</v>
      </c>
      <c r="H527">
        <v>1.0358743E-2</v>
      </c>
      <c r="I527">
        <v>2.1269010000000001E-2</v>
      </c>
      <c r="J527">
        <v>0</v>
      </c>
      <c r="K527">
        <v>0</v>
      </c>
      <c r="L527">
        <v>-1</v>
      </c>
      <c r="M527">
        <v>5</v>
      </c>
      <c r="N527">
        <v>2.0150519980000001</v>
      </c>
      <c r="O527">
        <v>37</v>
      </c>
      <c r="P527">
        <v>-5</v>
      </c>
      <c r="Q527">
        <v>42</v>
      </c>
      <c r="R527">
        <v>-22533</v>
      </c>
      <c r="S527">
        <v>4440</v>
      </c>
      <c r="T527">
        <v>-444</v>
      </c>
      <c r="U527">
        <v>120</v>
      </c>
      <c r="V527" t="s">
        <v>35</v>
      </c>
      <c r="W527">
        <v>-22533</v>
      </c>
      <c r="X527">
        <v>4440</v>
      </c>
      <c r="Y527">
        <v>-324</v>
      </c>
      <c r="Z527">
        <v>2.1269010000000001E-2</v>
      </c>
      <c r="AA527">
        <v>26973</v>
      </c>
      <c r="AB527">
        <v>0.01</v>
      </c>
      <c r="AC527">
        <v>-324</v>
      </c>
      <c r="AD527">
        <v>-1.2012012000000001E-2</v>
      </c>
      <c r="AE527">
        <v>0</v>
      </c>
      <c r="AF527">
        <v>-324</v>
      </c>
      <c r="AG527">
        <v>0</v>
      </c>
      <c r="AH527">
        <f t="shared" si="8"/>
        <v>-1.2012012012012012E-2</v>
      </c>
    </row>
    <row r="528" spans="1:34" x14ac:dyDescent="0.25">
      <c r="A528" s="1">
        <v>44267</v>
      </c>
      <c r="B528">
        <v>614</v>
      </c>
      <c r="C528">
        <v>8.2101810000000004E-3</v>
      </c>
      <c r="D528">
        <v>899</v>
      </c>
      <c r="E528">
        <v>1.2387387E-2</v>
      </c>
      <c r="F528">
        <v>-4.1772069999999996E-3</v>
      </c>
      <c r="G528">
        <v>4.1772069999999996E-3</v>
      </c>
      <c r="H528">
        <v>1.0475659E-2</v>
      </c>
      <c r="I528">
        <v>2.0404161000000001E-2</v>
      </c>
      <c r="J528">
        <v>0</v>
      </c>
      <c r="K528">
        <v>0</v>
      </c>
      <c r="L528">
        <v>0</v>
      </c>
      <c r="M528">
        <v>5</v>
      </c>
      <c r="N528">
        <v>2.209115019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W528">
        <v>0</v>
      </c>
      <c r="X528">
        <v>0</v>
      </c>
      <c r="Y528">
        <v>0</v>
      </c>
      <c r="Z528">
        <v>2.0404161000000001E-2</v>
      </c>
      <c r="AA528">
        <v>0</v>
      </c>
      <c r="AB528" t="s">
        <v>33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f t="shared" si="8"/>
        <v>0</v>
      </c>
    </row>
    <row r="529" spans="1:34" x14ac:dyDescent="0.25">
      <c r="A529" s="1">
        <v>44270</v>
      </c>
      <c r="B529">
        <v>611</v>
      </c>
      <c r="C529">
        <v>-4.8859929999999999E-3</v>
      </c>
      <c r="D529">
        <v>907</v>
      </c>
      <c r="E529">
        <v>8.8987760000000006E-3</v>
      </c>
      <c r="F529">
        <v>-1.378477E-2</v>
      </c>
      <c r="G529">
        <v>1.378477E-2</v>
      </c>
      <c r="H529">
        <v>1.0452222000000001E-2</v>
      </c>
      <c r="I529">
        <v>1.6330633000000001E-2</v>
      </c>
      <c r="J529">
        <v>0</v>
      </c>
      <c r="K529">
        <v>0</v>
      </c>
      <c r="L529">
        <v>0</v>
      </c>
      <c r="M529">
        <v>5</v>
      </c>
      <c r="N529">
        <v>2.7036065410000001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W529">
        <v>0</v>
      </c>
      <c r="X529">
        <v>0</v>
      </c>
      <c r="Y529">
        <v>0</v>
      </c>
      <c r="Z529">
        <v>1.6330633000000001E-2</v>
      </c>
      <c r="AA529">
        <v>0</v>
      </c>
      <c r="AB529" t="s">
        <v>33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f t="shared" si="8"/>
        <v>0</v>
      </c>
    </row>
    <row r="530" spans="1:34" x14ac:dyDescent="0.25">
      <c r="A530" s="1">
        <v>44271</v>
      </c>
      <c r="B530">
        <v>613</v>
      </c>
      <c r="C530">
        <v>3.273322E-3</v>
      </c>
      <c r="D530">
        <v>919</v>
      </c>
      <c r="E530">
        <v>1.323043E-2</v>
      </c>
      <c r="F530">
        <v>-9.9571079999999992E-3</v>
      </c>
      <c r="G530">
        <v>9.9571079999999992E-3</v>
      </c>
      <c r="H530">
        <v>9.1734739999999992E-3</v>
      </c>
      <c r="I530">
        <v>1.6289196999999998E-2</v>
      </c>
      <c r="J530">
        <v>0</v>
      </c>
      <c r="K530">
        <v>0</v>
      </c>
      <c r="L530">
        <v>0</v>
      </c>
      <c r="M530">
        <v>5</v>
      </c>
      <c r="N530">
        <v>6.0595477259999999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W530">
        <v>0</v>
      </c>
      <c r="X530">
        <v>0</v>
      </c>
      <c r="Y530">
        <v>0</v>
      </c>
      <c r="Z530">
        <v>1.6289196999999998E-2</v>
      </c>
      <c r="AA530">
        <v>0</v>
      </c>
      <c r="AB530" t="s">
        <v>33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f t="shared" si="8"/>
        <v>0</v>
      </c>
    </row>
    <row r="531" spans="1:34" x14ac:dyDescent="0.25">
      <c r="A531" s="1">
        <v>44272</v>
      </c>
      <c r="B531">
        <v>604</v>
      </c>
      <c r="C531">
        <v>-1.4681892E-2</v>
      </c>
      <c r="D531">
        <v>908</v>
      </c>
      <c r="E531">
        <v>-1.1969532E-2</v>
      </c>
      <c r="F531">
        <v>-2.71236E-3</v>
      </c>
      <c r="G531">
        <v>2.71236E-3</v>
      </c>
      <c r="H531">
        <v>1.3159647999999999E-2</v>
      </c>
      <c r="I531">
        <v>1.4283176999999999E-2</v>
      </c>
      <c r="J531">
        <v>0</v>
      </c>
      <c r="K531">
        <v>0</v>
      </c>
      <c r="L531">
        <v>0</v>
      </c>
      <c r="M531">
        <v>5</v>
      </c>
      <c r="N531">
        <v>1.225586726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W531">
        <v>0</v>
      </c>
      <c r="X531">
        <v>0</v>
      </c>
      <c r="Y531">
        <v>0</v>
      </c>
      <c r="Z531">
        <v>1.4283176999999999E-2</v>
      </c>
      <c r="AA531">
        <v>0</v>
      </c>
      <c r="AB531" t="s">
        <v>33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f t="shared" si="8"/>
        <v>0</v>
      </c>
    </row>
    <row r="532" spans="1:34" x14ac:dyDescent="0.25">
      <c r="A532" s="1">
        <v>44273</v>
      </c>
      <c r="B532">
        <v>602</v>
      </c>
      <c r="C532">
        <v>-3.3112580000000001E-3</v>
      </c>
      <c r="D532">
        <v>903</v>
      </c>
      <c r="E532">
        <v>-5.5066079999999996E-3</v>
      </c>
      <c r="F532">
        <v>2.19535E-3</v>
      </c>
      <c r="G532">
        <v>2.19535E-3</v>
      </c>
      <c r="H532">
        <v>8.6969089999999992E-3</v>
      </c>
      <c r="I532">
        <v>1.1436749E-2</v>
      </c>
      <c r="J532">
        <v>1</v>
      </c>
      <c r="K532">
        <v>0</v>
      </c>
      <c r="L532">
        <v>0</v>
      </c>
      <c r="M532">
        <v>5</v>
      </c>
      <c r="N532">
        <v>2.4944933919999999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W532">
        <v>0</v>
      </c>
      <c r="X532">
        <v>0</v>
      </c>
      <c r="Y532">
        <v>0</v>
      </c>
      <c r="Z532">
        <v>1.1436749E-2</v>
      </c>
      <c r="AA532">
        <v>0</v>
      </c>
      <c r="AB532" t="s">
        <v>33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f t="shared" si="8"/>
        <v>0</v>
      </c>
    </row>
    <row r="533" spans="1:34" x14ac:dyDescent="0.25">
      <c r="A533" s="1">
        <v>44274</v>
      </c>
      <c r="B533">
        <v>591</v>
      </c>
      <c r="C533">
        <v>-1.8272424999999998E-2</v>
      </c>
      <c r="D533">
        <v>885</v>
      </c>
      <c r="E533">
        <v>-1.9933554999999999E-2</v>
      </c>
      <c r="F533">
        <v>1.66113E-3</v>
      </c>
      <c r="G533">
        <v>1.66113E-3</v>
      </c>
      <c r="H533">
        <v>8.7755219999999991E-3</v>
      </c>
      <c r="I533">
        <v>1.3950562999999999E-2</v>
      </c>
      <c r="J533">
        <v>1</v>
      </c>
      <c r="K533">
        <v>0</v>
      </c>
      <c r="L533">
        <v>0</v>
      </c>
      <c r="M533">
        <v>5</v>
      </c>
      <c r="N533">
        <v>1.633594832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W533">
        <v>0</v>
      </c>
      <c r="X533">
        <v>0</v>
      </c>
      <c r="Y533">
        <v>0</v>
      </c>
      <c r="Z533">
        <v>1.3950562999999999E-2</v>
      </c>
      <c r="AA533">
        <v>0</v>
      </c>
      <c r="AB533" t="s">
        <v>33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f t="shared" si="8"/>
        <v>0</v>
      </c>
    </row>
    <row r="534" spans="1:34" x14ac:dyDescent="0.25">
      <c r="A534" s="1">
        <v>44277</v>
      </c>
      <c r="B534">
        <v>593</v>
      </c>
      <c r="C534">
        <v>3.3840950000000002E-3</v>
      </c>
      <c r="D534">
        <v>881</v>
      </c>
      <c r="E534">
        <v>-4.5197739999999998E-3</v>
      </c>
      <c r="F534">
        <v>7.9038690000000009E-3</v>
      </c>
      <c r="G534">
        <v>7.9038690000000009E-3</v>
      </c>
      <c r="H534">
        <v>1.0090119E-2</v>
      </c>
      <c r="I534">
        <v>1.2264631E-2</v>
      </c>
      <c r="J534">
        <v>1</v>
      </c>
      <c r="K534">
        <v>0</v>
      </c>
      <c r="L534">
        <v>0</v>
      </c>
      <c r="M534">
        <v>5</v>
      </c>
      <c r="N534">
        <v>1.984245577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W534">
        <v>0</v>
      </c>
      <c r="X534">
        <v>0</v>
      </c>
      <c r="Y534">
        <v>0</v>
      </c>
      <c r="Z534">
        <v>1.2264631E-2</v>
      </c>
      <c r="AA534">
        <v>0</v>
      </c>
      <c r="AB534" t="s">
        <v>33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f t="shared" si="8"/>
        <v>0</v>
      </c>
    </row>
    <row r="535" spans="1:34" x14ac:dyDescent="0.25">
      <c r="A535" s="1">
        <v>44278</v>
      </c>
      <c r="B535">
        <v>594</v>
      </c>
      <c r="C535">
        <v>1.6863410000000001E-3</v>
      </c>
      <c r="D535">
        <v>870</v>
      </c>
      <c r="E535">
        <v>-1.2485812000000001E-2</v>
      </c>
      <c r="F535">
        <v>1.4172152E-2</v>
      </c>
      <c r="G535">
        <v>1.4172152E-2</v>
      </c>
      <c r="H535">
        <v>9.7477229999999998E-3</v>
      </c>
      <c r="I535">
        <v>6.2261210000000003E-3</v>
      </c>
      <c r="J535">
        <v>1</v>
      </c>
      <c r="K535">
        <v>1</v>
      </c>
      <c r="L535">
        <v>1</v>
      </c>
      <c r="M535">
        <v>5</v>
      </c>
      <c r="N535">
        <v>10.844368770000001</v>
      </c>
      <c r="O535">
        <v>-55</v>
      </c>
      <c r="P535">
        <v>5</v>
      </c>
      <c r="Q535">
        <v>60</v>
      </c>
      <c r="R535">
        <v>32670</v>
      </c>
      <c r="S535">
        <v>-4350</v>
      </c>
      <c r="T535">
        <v>0</v>
      </c>
      <c r="U535">
        <v>0</v>
      </c>
      <c r="V535" t="s">
        <v>34</v>
      </c>
      <c r="W535">
        <v>32670</v>
      </c>
      <c r="X535">
        <v>-4350</v>
      </c>
      <c r="Y535">
        <v>0</v>
      </c>
      <c r="Z535">
        <v>9.7477229999999998E-3</v>
      </c>
      <c r="AA535">
        <v>37020</v>
      </c>
      <c r="AB535">
        <v>0.01</v>
      </c>
      <c r="AC535">
        <v>0</v>
      </c>
      <c r="AD535">
        <v>0</v>
      </c>
      <c r="AE535">
        <v>0</v>
      </c>
      <c r="AF535">
        <v>0</v>
      </c>
      <c r="AG535">
        <v>37020</v>
      </c>
      <c r="AH535">
        <f t="shared" si="8"/>
        <v>0</v>
      </c>
    </row>
    <row r="536" spans="1:34" x14ac:dyDescent="0.25">
      <c r="A536" s="1">
        <v>44279</v>
      </c>
      <c r="B536">
        <v>576</v>
      </c>
      <c r="C536">
        <v>-3.0303030000000002E-2</v>
      </c>
      <c r="D536">
        <v>894</v>
      </c>
      <c r="E536">
        <v>2.7586207000000001E-2</v>
      </c>
      <c r="F536">
        <v>-5.7889237000000003E-2</v>
      </c>
      <c r="G536">
        <v>5.7889237000000003E-2</v>
      </c>
      <c r="H536">
        <v>1.4483289E-2</v>
      </c>
      <c r="I536">
        <v>1.8171618E-2</v>
      </c>
      <c r="J536">
        <v>0</v>
      </c>
      <c r="K536">
        <v>0</v>
      </c>
      <c r="L536">
        <v>-1</v>
      </c>
      <c r="M536">
        <v>5</v>
      </c>
      <c r="N536">
        <v>1.4129310340000001</v>
      </c>
      <c r="O536">
        <v>55</v>
      </c>
      <c r="P536">
        <v>-5</v>
      </c>
      <c r="Q536">
        <v>60</v>
      </c>
      <c r="R536">
        <v>-31680</v>
      </c>
      <c r="S536">
        <v>4470</v>
      </c>
      <c r="T536">
        <v>990</v>
      </c>
      <c r="U536">
        <v>120</v>
      </c>
      <c r="V536" t="s">
        <v>35</v>
      </c>
      <c r="W536">
        <v>-31680</v>
      </c>
      <c r="X536">
        <v>4470</v>
      </c>
      <c r="Y536">
        <v>1110</v>
      </c>
      <c r="Z536">
        <v>1.8171618E-2</v>
      </c>
      <c r="AA536">
        <v>36150</v>
      </c>
      <c r="AB536">
        <v>0.01</v>
      </c>
      <c r="AC536">
        <v>1110</v>
      </c>
      <c r="AD536">
        <v>3.0705394E-2</v>
      </c>
      <c r="AE536">
        <v>0</v>
      </c>
      <c r="AF536">
        <v>1110</v>
      </c>
      <c r="AG536">
        <v>0</v>
      </c>
      <c r="AH536">
        <f t="shared" si="8"/>
        <v>3.0705394190871368E-2</v>
      </c>
    </row>
    <row r="537" spans="1:34" x14ac:dyDescent="0.25">
      <c r="A537" s="1">
        <v>44280</v>
      </c>
      <c r="B537">
        <v>575</v>
      </c>
      <c r="C537">
        <v>-1.736111E-3</v>
      </c>
      <c r="D537">
        <v>949</v>
      </c>
      <c r="E537">
        <v>6.1521252999999998E-2</v>
      </c>
      <c r="F537">
        <v>-6.3257363999999996E-2</v>
      </c>
      <c r="G537">
        <v>6.3257363999999996E-2</v>
      </c>
      <c r="H537">
        <v>1.4663842E-2</v>
      </c>
      <c r="I537">
        <v>3.3820213000000002E-2</v>
      </c>
      <c r="J537">
        <v>0</v>
      </c>
      <c r="K537">
        <v>1</v>
      </c>
      <c r="L537">
        <v>1</v>
      </c>
      <c r="M537">
        <v>5</v>
      </c>
      <c r="N537">
        <v>58.485205720000003</v>
      </c>
      <c r="O537">
        <v>293</v>
      </c>
      <c r="P537">
        <v>-5</v>
      </c>
      <c r="Q537">
        <v>298</v>
      </c>
      <c r="R537">
        <v>-168475</v>
      </c>
      <c r="S537">
        <v>4745</v>
      </c>
      <c r="T537">
        <v>0</v>
      </c>
      <c r="U537">
        <v>0</v>
      </c>
      <c r="V537" t="s">
        <v>34</v>
      </c>
      <c r="W537">
        <v>-168475</v>
      </c>
      <c r="X537">
        <v>4745</v>
      </c>
      <c r="Y537">
        <v>0</v>
      </c>
      <c r="Z537">
        <v>3.3820213000000002E-2</v>
      </c>
      <c r="AA537">
        <v>173220</v>
      </c>
      <c r="AB537">
        <v>0.04</v>
      </c>
      <c r="AC537">
        <v>0</v>
      </c>
      <c r="AD537">
        <v>0</v>
      </c>
      <c r="AE537">
        <v>0</v>
      </c>
      <c r="AF537">
        <v>0</v>
      </c>
      <c r="AG537">
        <v>173220</v>
      </c>
      <c r="AH537">
        <f t="shared" si="8"/>
        <v>0</v>
      </c>
    </row>
    <row r="538" spans="1:34" x14ac:dyDescent="0.25">
      <c r="A538" s="1">
        <v>44281</v>
      </c>
      <c r="B538">
        <v>590</v>
      </c>
      <c r="C538">
        <v>2.6086957000000001E-2</v>
      </c>
      <c r="D538">
        <v>943</v>
      </c>
      <c r="E538">
        <v>-6.3224450000000003E-3</v>
      </c>
      <c r="F538">
        <v>3.2409400999999997E-2</v>
      </c>
      <c r="G538">
        <v>3.2409400999999997E-2</v>
      </c>
      <c r="H538">
        <v>2.0099486E-2</v>
      </c>
      <c r="I538">
        <v>3.1212072E-2</v>
      </c>
      <c r="J538">
        <v>1</v>
      </c>
      <c r="K538">
        <v>0</v>
      </c>
      <c r="L538">
        <v>-1</v>
      </c>
      <c r="M538">
        <v>5</v>
      </c>
      <c r="N538">
        <v>0.387365827</v>
      </c>
      <c r="O538">
        <v>-293</v>
      </c>
      <c r="P538">
        <v>5</v>
      </c>
      <c r="Q538">
        <v>298</v>
      </c>
      <c r="R538">
        <v>172870</v>
      </c>
      <c r="S538">
        <v>-4715</v>
      </c>
      <c r="T538">
        <v>4395</v>
      </c>
      <c r="U538">
        <v>30</v>
      </c>
      <c r="V538" t="s">
        <v>35</v>
      </c>
      <c r="W538">
        <v>172870</v>
      </c>
      <c r="X538">
        <v>-4715</v>
      </c>
      <c r="Y538">
        <v>4425</v>
      </c>
      <c r="Z538">
        <v>3.1212072E-2</v>
      </c>
      <c r="AA538">
        <v>177585</v>
      </c>
      <c r="AB538">
        <v>0.04</v>
      </c>
      <c r="AC538">
        <v>4425</v>
      </c>
      <c r="AD538">
        <v>2.4917644999999999E-2</v>
      </c>
      <c r="AE538">
        <v>0</v>
      </c>
      <c r="AF538">
        <v>4425</v>
      </c>
      <c r="AG538">
        <v>0</v>
      </c>
      <c r="AH538">
        <f t="shared" si="8"/>
        <v>2.491764507137427E-2</v>
      </c>
    </row>
    <row r="539" spans="1:34" x14ac:dyDescent="0.25">
      <c r="A539" s="1">
        <v>44284</v>
      </c>
      <c r="B539">
        <v>599</v>
      </c>
      <c r="C539">
        <v>1.5254237E-2</v>
      </c>
      <c r="D539">
        <v>941</v>
      </c>
      <c r="E539">
        <v>-2.1208910000000002E-3</v>
      </c>
      <c r="F539">
        <v>1.7375128E-2</v>
      </c>
      <c r="G539">
        <v>1.7375128E-2</v>
      </c>
      <c r="H539">
        <v>2.1290864E-2</v>
      </c>
      <c r="I539">
        <v>3.0889212999999999E-2</v>
      </c>
      <c r="J539">
        <v>1</v>
      </c>
      <c r="K539">
        <v>0</v>
      </c>
      <c r="L539">
        <v>0</v>
      </c>
      <c r="M539">
        <v>5</v>
      </c>
      <c r="N539">
        <v>0.21841909600000001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W539">
        <v>0</v>
      </c>
      <c r="X539">
        <v>0</v>
      </c>
      <c r="Y539">
        <v>0</v>
      </c>
      <c r="Z539">
        <v>3.0889212999999999E-2</v>
      </c>
      <c r="AA539">
        <v>0</v>
      </c>
      <c r="AB539" t="s">
        <v>33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f t="shared" si="8"/>
        <v>0</v>
      </c>
    </row>
    <row r="540" spans="1:34" x14ac:dyDescent="0.25">
      <c r="A540" s="1">
        <v>44285</v>
      </c>
      <c r="B540">
        <v>597</v>
      </c>
      <c r="C540">
        <v>-3.3388979999999999E-3</v>
      </c>
      <c r="D540">
        <v>971</v>
      </c>
      <c r="E540">
        <v>3.1880977999999997E-2</v>
      </c>
      <c r="F540">
        <v>-3.5219875999999997E-2</v>
      </c>
      <c r="G540">
        <v>3.5219875999999997E-2</v>
      </c>
      <c r="H540">
        <v>2.1439130000000001E-2</v>
      </c>
      <c r="I540">
        <v>2.7719359999999998E-2</v>
      </c>
      <c r="J540">
        <v>0</v>
      </c>
      <c r="K540">
        <v>1</v>
      </c>
      <c r="L540">
        <v>1</v>
      </c>
      <c r="M540">
        <v>5</v>
      </c>
      <c r="N540">
        <v>15.53006798</v>
      </c>
      <c r="O540">
        <v>78</v>
      </c>
      <c r="P540">
        <v>-5</v>
      </c>
      <c r="Q540">
        <v>83</v>
      </c>
      <c r="R540">
        <v>-46566</v>
      </c>
      <c r="S540">
        <v>4855</v>
      </c>
      <c r="T540">
        <v>0</v>
      </c>
      <c r="U540">
        <v>0</v>
      </c>
      <c r="V540" t="s">
        <v>34</v>
      </c>
      <c r="W540">
        <v>-46566</v>
      </c>
      <c r="X540">
        <v>4855</v>
      </c>
      <c r="Y540">
        <v>0</v>
      </c>
      <c r="Z540">
        <v>2.7719359999999998E-2</v>
      </c>
      <c r="AA540">
        <v>51421</v>
      </c>
      <c r="AB540">
        <v>0.01</v>
      </c>
      <c r="AC540">
        <v>0</v>
      </c>
      <c r="AD540">
        <v>0</v>
      </c>
      <c r="AE540">
        <v>0</v>
      </c>
      <c r="AF540">
        <v>0</v>
      </c>
      <c r="AG540">
        <v>51421</v>
      </c>
      <c r="AH540">
        <f t="shared" si="8"/>
        <v>0</v>
      </c>
    </row>
    <row r="541" spans="1:34" x14ac:dyDescent="0.25">
      <c r="A541" s="1">
        <v>44286</v>
      </c>
      <c r="B541">
        <v>587</v>
      </c>
      <c r="C541">
        <v>-1.6750418999999999E-2</v>
      </c>
      <c r="D541">
        <v>969</v>
      </c>
      <c r="E541">
        <v>-2.0597319999999999E-3</v>
      </c>
      <c r="F541">
        <v>-1.4690686999999999E-2</v>
      </c>
      <c r="G541">
        <v>1.4690686999999999E-2</v>
      </c>
      <c r="H541">
        <v>1.6821019999999999E-2</v>
      </c>
      <c r="I541">
        <v>2.9476775E-2</v>
      </c>
      <c r="J541">
        <v>0</v>
      </c>
      <c r="K541">
        <v>1</v>
      </c>
      <c r="L541">
        <v>0</v>
      </c>
      <c r="M541">
        <v>5</v>
      </c>
      <c r="N541">
        <v>0.20298819100000001</v>
      </c>
      <c r="O541">
        <v>-78</v>
      </c>
      <c r="P541">
        <v>5</v>
      </c>
      <c r="Q541">
        <v>83</v>
      </c>
      <c r="R541">
        <v>45786</v>
      </c>
      <c r="S541">
        <v>-4845</v>
      </c>
      <c r="T541">
        <v>-780</v>
      </c>
      <c r="U541">
        <v>10</v>
      </c>
      <c r="V541" t="s">
        <v>37</v>
      </c>
      <c r="W541">
        <v>0</v>
      </c>
      <c r="X541">
        <v>0</v>
      </c>
      <c r="Y541">
        <v>0</v>
      </c>
      <c r="Z541">
        <v>2.9476775E-2</v>
      </c>
      <c r="AA541">
        <v>50631</v>
      </c>
      <c r="AB541">
        <v>0.01</v>
      </c>
      <c r="AC541">
        <v>-770</v>
      </c>
      <c r="AD541">
        <v>-1.5208074E-2</v>
      </c>
      <c r="AE541">
        <v>0</v>
      </c>
      <c r="AF541">
        <v>0</v>
      </c>
      <c r="AG541">
        <v>0</v>
      </c>
      <c r="AH541">
        <f t="shared" si="8"/>
        <v>0</v>
      </c>
    </row>
    <row r="542" spans="1:34" x14ac:dyDescent="0.25">
      <c r="A542" s="1">
        <v>44287</v>
      </c>
      <c r="B542">
        <v>602</v>
      </c>
      <c r="C542">
        <v>2.5553663000000001E-2</v>
      </c>
      <c r="D542">
        <v>961</v>
      </c>
      <c r="E542">
        <v>-8.2559339999999995E-3</v>
      </c>
      <c r="F542">
        <v>3.3809596999999997E-2</v>
      </c>
      <c r="G542">
        <v>3.3809596999999997E-2</v>
      </c>
      <c r="H542">
        <v>1.8840009000000001E-2</v>
      </c>
      <c r="I542">
        <v>1.6574332000000001E-2</v>
      </c>
      <c r="J542">
        <v>1</v>
      </c>
      <c r="K542">
        <v>0</v>
      </c>
      <c r="L542">
        <v>-1</v>
      </c>
      <c r="M542">
        <v>5</v>
      </c>
      <c r="N542">
        <v>0.51575084500000001</v>
      </c>
      <c r="O542">
        <v>-78</v>
      </c>
      <c r="P542">
        <v>5</v>
      </c>
      <c r="Q542">
        <v>83</v>
      </c>
      <c r="R542">
        <v>46956</v>
      </c>
      <c r="S542">
        <v>-4805</v>
      </c>
      <c r="T542">
        <v>390</v>
      </c>
      <c r="U542">
        <v>50</v>
      </c>
      <c r="V542" t="s">
        <v>35</v>
      </c>
      <c r="W542">
        <v>46956</v>
      </c>
      <c r="X542">
        <v>-4805</v>
      </c>
      <c r="Y542">
        <v>440</v>
      </c>
      <c r="Z542">
        <v>1.8840009000000001E-2</v>
      </c>
      <c r="AA542">
        <v>51761</v>
      </c>
      <c r="AB542">
        <v>0.01</v>
      </c>
      <c r="AC542">
        <v>440</v>
      </c>
      <c r="AD542">
        <v>8.5006089999999992E-3</v>
      </c>
      <c r="AE542">
        <v>0</v>
      </c>
      <c r="AF542">
        <v>440</v>
      </c>
      <c r="AG542">
        <v>0</v>
      </c>
      <c r="AH542">
        <f t="shared" si="8"/>
        <v>8.500608566295087E-3</v>
      </c>
    </row>
    <row r="543" spans="1:34" x14ac:dyDescent="0.25">
      <c r="A543" s="1">
        <v>44293</v>
      </c>
      <c r="B543">
        <v>610</v>
      </c>
      <c r="C543">
        <v>1.3289037E-2</v>
      </c>
      <c r="D543">
        <v>998</v>
      </c>
      <c r="E543">
        <v>3.8501560999999997E-2</v>
      </c>
      <c r="F543">
        <v>-2.5212524E-2</v>
      </c>
      <c r="G543">
        <v>2.5212524E-2</v>
      </c>
      <c r="H543">
        <v>1.6753365999999999E-2</v>
      </c>
      <c r="I543">
        <v>2.1818115999999999E-2</v>
      </c>
      <c r="J543">
        <v>0</v>
      </c>
      <c r="K543">
        <v>1</v>
      </c>
      <c r="L543">
        <v>1</v>
      </c>
      <c r="M543">
        <v>5</v>
      </c>
      <c r="N543">
        <v>4.7400786410000002</v>
      </c>
      <c r="O543">
        <v>24</v>
      </c>
      <c r="P543">
        <v>-5</v>
      </c>
      <c r="Q543">
        <v>29</v>
      </c>
      <c r="R543">
        <v>-14640</v>
      </c>
      <c r="S543">
        <v>4990</v>
      </c>
      <c r="T543">
        <v>0</v>
      </c>
      <c r="U543">
        <v>0</v>
      </c>
      <c r="V543" t="s">
        <v>34</v>
      </c>
      <c r="W543">
        <v>-14640</v>
      </c>
      <c r="X543">
        <v>4990</v>
      </c>
      <c r="Y543">
        <v>0</v>
      </c>
      <c r="Z543">
        <v>2.1818115999999999E-2</v>
      </c>
      <c r="AA543">
        <v>19630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19630</v>
      </c>
      <c r="AH543">
        <f t="shared" si="8"/>
        <v>0</v>
      </c>
    </row>
    <row r="544" spans="1:34" x14ac:dyDescent="0.25">
      <c r="A544" s="1">
        <v>44294</v>
      </c>
      <c r="B544">
        <v>613</v>
      </c>
      <c r="C544">
        <v>4.9180329999999996E-3</v>
      </c>
      <c r="D544">
        <v>1020</v>
      </c>
      <c r="E544">
        <v>2.2044088E-2</v>
      </c>
      <c r="F544">
        <v>-1.7126055000000001E-2</v>
      </c>
      <c r="G544">
        <v>1.7126055000000001E-2</v>
      </c>
      <c r="H544">
        <v>1.6073525000000002E-2</v>
      </c>
      <c r="I544">
        <v>2.0668029000000001E-2</v>
      </c>
      <c r="J544">
        <v>0</v>
      </c>
      <c r="K544">
        <v>1</v>
      </c>
      <c r="L544">
        <v>0</v>
      </c>
      <c r="M544">
        <v>5</v>
      </c>
      <c r="N544">
        <v>7.4583097680000003</v>
      </c>
      <c r="O544">
        <v>-24</v>
      </c>
      <c r="P544">
        <v>5</v>
      </c>
      <c r="Q544">
        <v>29</v>
      </c>
      <c r="R544">
        <v>14712</v>
      </c>
      <c r="S544">
        <v>-5100</v>
      </c>
      <c r="T544">
        <v>72</v>
      </c>
      <c r="U544">
        <v>-110</v>
      </c>
      <c r="V544" t="s">
        <v>37</v>
      </c>
      <c r="W544">
        <v>0</v>
      </c>
      <c r="X544">
        <v>0</v>
      </c>
      <c r="Y544">
        <v>0</v>
      </c>
      <c r="Z544">
        <v>2.0668029000000001E-2</v>
      </c>
      <c r="AA544">
        <v>19812</v>
      </c>
      <c r="AB544">
        <v>0</v>
      </c>
      <c r="AC544">
        <v>-38</v>
      </c>
      <c r="AD544">
        <v>-1.9180289999999999E-3</v>
      </c>
      <c r="AE544">
        <v>0</v>
      </c>
      <c r="AF544">
        <v>0</v>
      </c>
      <c r="AG544">
        <v>0</v>
      </c>
      <c r="AH544">
        <f t="shared" si="8"/>
        <v>0</v>
      </c>
    </row>
    <row r="545" spans="1:34" x14ac:dyDescent="0.25">
      <c r="A545" s="1">
        <v>44295</v>
      </c>
      <c r="B545">
        <v>610</v>
      </c>
      <c r="C545">
        <v>-4.8939639999999998E-3</v>
      </c>
      <c r="D545">
        <v>999</v>
      </c>
      <c r="E545">
        <v>-2.0588235E-2</v>
      </c>
      <c r="F545">
        <v>1.5694270999999999E-2</v>
      </c>
      <c r="G545">
        <v>1.5694270999999999E-2</v>
      </c>
      <c r="H545">
        <v>1.6282476000000001E-2</v>
      </c>
      <c r="I545">
        <v>2.3921035E-2</v>
      </c>
      <c r="J545">
        <v>1</v>
      </c>
      <c r="K545">
        <v>0</v>
      </c>
      <c r="L545">
        <v>-1</v>
      </c>
      <c r="M545">
        <v>5</v>
      </c>
      <c r="N545">
        <v>6.8895998069999997</v>
      </c>
      <c r="O545">
        <v>-24</v>
      </c>
      <c r="P545">
        <v>5</v>
      </c>
      <c r="Q545">
        <v>29</v>
      </c>
      <c r="R545">
        <v>14640</v>
      </c>
      <c r="S545">
        <v>-4995</v>
      </c>
      <c r="T545">
        <v>0</v>
      </c>
      <c r="U545">
        <v>-5</v>
      </c>
      <c r="V545" t="s">
        <v>35</v>
      </c>
      <c r="W545">
        <v>14640</v>
      </c>
      <c r="X545">
        <v>-4995</v>
      </c>
      <c r="Y545">
        <v>-5</v>
      </c>
      <c r="Z545">
        <v>2.3921035E-2</v>
      </c>
      <c r="AA545">
        <v>19635</v>
      </c>
      <c r="AB545">
        <v>0</v>
      </c>
      <c r="AC545">
        <v>-5</v>
      </c>
      <c r="AD545">
        <v>-2.5464699999999999E-4</v>
      </c>
      <c r="AE545">
        <v>0</v>
      </c>
      <c r="AF545">
        <v>-5</v>
      </c>
      <c r="AG545">
        <v>0</v>
      </c>
      <c r="AH545">
        <f t="shared" si="8"/>
        <v>-2.5464731347084286E-4</v>
      </c>
    </row>
    <row r="546" spans="1:34" x14ac:dyDescent="0.25">
      <c r="A546" s="1">
        <v>44298</v>
      </c>
      <c r="B546">
        <v>605</v>
      </c>
      <c r="C546">
        <v>-8.1967210000000006E-3</v>
      </c>
      <c r="D546">
        <v>960</v>
      </c>
      <c r="E546">
        <v>-3.9039038999999998E-2</v>
      </c>
      <c r="F546">
        <v>3.0842318000000001E-2</v>
      </c>
      <c r="G546">
        <v>3.0842318000000001E-2</v>
      </c>
      <c r="H546">
        <v>1.3754835E-2</v>
      </c>
      <c r="I546">
        <v>3.1518353999999998E-2</v>
      </c>
      <c r="J546">
        <v>1</v>
      </c>
      <c r="K546">
        <v>0</v>
      </c>
      <c r="L546">
        <v>0</v>
      </c>
      <c r="M546">
        <v>5</v>
      </c>
      <c r="N546">
        <v>7.5574417389999997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W546">
        <v>0</v>
      </c>
      <c r="X546">
        <v>0</v>
      </c>
      <c r="Y546">
        <v>0</v>
      </c>
      <c r="Z546">
        <v>3.1518353999999998E-2</v>
      </c>
      <c r="AA546">
        <v>0</v>
      </c>
      <c r="AB546" t="s">
        <v>33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f t="shared" si="8"/>
        <v>0</v>
      </c>
    </row>
    <row r="547" spans="1:34" x14ac:dyDescent="0.25">
      <c r="A547" s="1">
        <v>44299</v>
      </c>
      <c r="B547">
        <v>605</v>
      </c>
      <c r="C547">
        <v>0</v>
      </c>
      <c r="D547">
        <v>961</v>
      </c>
      <c r="E547">
        <v>1.041667E-3</v>
      </c>
      <c r="F547">
        <v>-1.041667E-3</v>
      </c>
      <c r="G547">
        <v>1.041667E-3</v>
      </c>
      <c r="H547">
        <v>8.46592E-3</v>
      </c>
      <c r="I547">
        <v>3.1291175999999997E-2</v>
      </c>
      <c r="J547">
        <v>0</v>
      </c>
      <c r="K547">
        <v>0</v>
      </c>
      <c r="L547">
        <v>0</v>
      </c>
      <c r="M547">
        <v>5</v>
      </c>
      <c r="N547" t="s">
        <v>36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W547">
        <v>0</v>
      </c>
      <c r="X547">
        <v>0</v>
      </c>
      <c r="Y547">
        <v>0</v>
      </c>
      <c r="Z547">
        <v>3.1291175999999997E-2</v>
      </c>
      <c r="AA547">
        <v>0</v>
      </c>
      <c r="AB547" t="s">
        <v>33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f t="shared" si="8"/>
        <v>0</v>
      </c>
    </row>
    <row r="548" spans="1:34" x14ac:dyDescent="0.25">
      <c r="A548" s="1">
        <v>44300</v>
      </c>
      <c r="B548">
        <v>612</v>
      </c>
      <c r="C548">
        <v>1.1570248E-2</v>
      </c>
      <c r="D548">
        <v>965</v>
      </c>
      <c r="E548">
        <v>4.162331E-3</v>
      </c>
      <c r="F548">
        <v>7.407917E-3</v>
      </c>
      <c r="G548">
        <v>7.407917E-3</v>
      </c>
      <c r="H548">
        <v>7.8563039999999997E-3</v>
      </c>
      <c r="I548">
        <v>2.3678003999999999E-2</v>
      </c>
      <c r="J548">
        <v>1</v>
      </c>
      <c r="K548">
        <v>0</v>
      </c>
      <c r="L548">
        <v>0</v>
      </c>
      <c r="M548">
        <v>5</v>
      </c>
      <c r="N548">
        <v>0.56724389399999997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W548">
        <v>0</v>
      </c>
      <c r="X548">
        <v>0</v>
      </c>
      <c r="Y548">
        <v>0</v>
      </c>
      <c r="Z548">
        <v>2.3678003999999999E-2</v>
      </c>
      <c r="AA548">
        <v>0</v>
      </c>
      <c r="AB548" t="s">
        <v>33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f t="shared" si="8"/>
        <v>0</v>
      </c>
    </row>
    <row r="549" spans="1:34" x14ac:dyDescent="0.25">
      <c r="A549" s="1">
        <v>44301</v>
      </c>
      <c r="B549">
        <v>619</v>
      </c>
      <c r="C549">
        <v>1.1437908E-2</v>
      </c>
      <c r="D549">
        <v>985</v>
      </c>
      <c r="E549">
        <v>2.0725389E-2</v>
      </c>
      <c r="F549">
        <v>-9.2874800000000007E-3</v>
      </c>
      <c r="G549">
        <v>9.2874800000000007E-3</v>
      </c>
      <c r="H549">
        <v>9.1673640000000008E-3</v>
      </c>
      <c r="I549">
        <v>2.3284997000000002E-2</v>
      </c>
      <c r="J549">
        <v>0</v>
      </c>
      <c r="K549">
        <v>0</v>
      </c>
      <c r="L549">
        <v>0</v>
      </c>
      <c r="M549">
        <v>5</v>
      </c>
      <c r="N549">
        <v>2.8833784339999999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W549">
        <v>0</v>
      </c>
      <c r="X549">
        <v>0</v>
      </c>
      <c r="Y549">
        <v>0</v>
      </c>
      <c r="Z549">
        <v>2.3284997000000002E-2</v>
      </c>
      <c r="AA549">
        <v>0</v>
      </c>
      <c r="AB549" t="s">
        <v>33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f t="shared" si="8"/>
        <v>0</v>
      </c>
    </row>
    <row r="550" spans="1:34" x14ac:dyDescent="0.25">
      <c r="A550" s="1">
        <v>44302</v>
      </c>
      <c r="B550">
        <v>610</v>
      </c>
      <c r="C550">
        <v>-1.453958E-2</v>
      </c>
      <c r="D550">
        <v>975</v>
      </c>
      <c r="E550">
        <v>-1.0152283999999999E-2</v>
      </c>
      <c r="F550">
        <v>-4.3872959999999997E-3</v>
      </c>
      <c r="G550">
        <v>4.3872959999999997E-3</v>
      </c>
      <c r="H550">
        <v>1.1654047000000001E-2</v>
      </c>
      <c r="I550">
        <v>2.2174556000000002E-2</v>
      </c>
      <c r="J550">
        <v>0</v>
      </c>
      <c r="K550">
        <v>0</v>
      </c>
      <c r="L550">
        <v>0</v>
      </c>
      <c r="M550">
        <v>5</v>
      </c>
      <c r="N550">
        <v>1.116057807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W550">
        <v>0</v>
      </c>
      <c r="X550">
        <v>0</v>
      </c>
      <c r="Y550">
        <v>0</v>
      </c>
      <c r="Z550">
        <v>2.2174556000000002E-2</v>
      </c>
      <c r="AA550">
        <v>0</v>
      </c>
      <c r="AB550" t="s">
        <v>33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f t="shared" si="8"/>
        <v>0</v>
      </c>
    </row>
    <row r="551" spans="1:34" x14ac:dyDescent="0.25">
      <c r="A551" s="1">
        <v>44305</v>
      </c>
      <c r="B551">
        <v>603</v>
      </c>
      <c r="C551">
        <v>-1.147541E-2</v>
      </c>
      <c r="D551">
        <v>963</v>
      </c>
      <c r="E551">
        <v>-1.2307692E-2</v>
      </c>
      <c r="F551">
        <v>8.3228200000000005E-4</v>
      </c>
      <c r="G551">
        <v>8.3228200000000005E-4</v>
      </c>
      <c r="H551">
        <v>1.2308255000000001E-2</v>
      </c>
      <c r="I551">
        <v>1.3229632E-2</v>
      </c>
      <c r="J551">
        <v>1</v>
      </c>
      <c r="K551">
        <v>0</v>
      </c>
      <c r="L551">
        <v>0</v>
      </c>
      <c r="M551">
        <v>5</v>
      </c>
      <c r="N551">
        <v>1.712842381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W551">
        <v>0</v>
      </c>
      <c r="X551">
        <v>0</v>
      </c>
      <c r="Y551">
        <v>0</v>
      </c>
      <c r="Z551">
        <v>1.3229632E-2</v>
      </c>
      <c r="AA551">
        <v>0</v>
      </c>
      <c r="AB551" t="s">
        <v>33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f t="shared" si="8"/>
        <v>0</v>
      </c>
    </row>
    <row r="552" spans="1:34" x14ac:dyDescent="0.25">
      <c r="A552" s="1">
        <v>44306</v>
      </c>
      <c r="B552">
        <v>602</v>
      </c>
      <c r="C552">
        <v>-1.6583749999999999E-3</v>
      </c>
      <c r="D552">
        <v>998</v>
      </c>
      <c r="E552">
        <v>3.6344755999999999E-2</v>
      </c>
      <c r="F552">
        <v>-3.8003131000000002E-2</v>
      </c>
      <c r="G552">
        <v>3.8003131000000002E-2</v>
      </c>
      <c r="H552">
        <v>1.2310343E-2</v>
      </c>
      <c r="I552">
        <v>2.0746654999999999E-2</v>
      </c>
      <c r="J552">
        <v>0</v>
      </c>
      <c r="K552">
        <v>1</v>
      </c>
      <c r="L552">
        <v>1</v>
      </c>
      <c r="M552">
        <v>5</v>
      </c>
      <c r="N552">
        <v>36.332319060000003</v>
      </c>
      <c r="O552">
        <v>182</v>
      </c>
      <c r="P552">
        <v>-5</v>
      </c>
      <c r="Q552">
        <v>187</v>
      </c>
      <c r="R552">
        <v>-109564</v>
      </c>
      <c r="S552">
        <v>4990</v>
      </c>
      <c r="T552">
        <v>0</v>
      </c>
      <c r="U552">
        <v>0</v>
      </c>
      <c r="V552" t="s">
        <v>34</v>
      </c>
      <c r="W552">
        <v>-109564</v>
      </c>
      <c r="X552">
        <v>4990</v>
      </c>
      <c r="Y552">
        <v>0</v>
      </c>
      <c r="Z552">
        <v>2.0746654999999999E-2</v>
      </c>
      <c r="AA552">
        <v>114554</v>
      </c>
      <c r="AB552">
        <v>0.02</v>
      </c>
      <c r="AC552">
        <v>0</v>
      </c>
      <c r="AD552">
        <v>0</v>
      </c>
      <c r="AE552">
        <v>0</v>
      </c>
      <c r="AF552">
        <v>0</v>
      </c>
      <c r="AG552">
        <v>114554</v>
      </c>
      <c r="AH552">
        <f t="shared" si="8"/>
        <v>0</v>
      </c>
    </row>
    <row r="553" spans="1:34" x14ac:dyDescent="0.25">
      <c r="A553" s="1">
        <v>44307</v>
      </c>
      <c r="B553">
        <v>592</v>
      </c>
      <c r="C553">
        <v>-1.6611296000000001E-2</v>
      </c>
      <c r="D553">
        <v>988</v>
      </c>
      <c r="E553">
        <v>-1.0020039999999999E-2</v>
      </c>
      <c r="F553">
        <v>-6.5912560000000002E-3</v>
      </c>
      <c r="G553">
        <v>6.5912560000000002E-3</v>
      </c>
      <c r="H553">
        <v>1.158462E-2</v>
      </c>
      <c r="I553">
        <v>2.2273850000000001E-2</v>
      </c>
      <c r="J553">
        <v>0</v>
      </c>
      <c r="K553">
        <v>1</v>
      </c>
      <c r="L553">
        <v>0</v>
      </c>
      <c r="M553">
        <v>5</v>
      </c>
      <c r="N553">
        <v>1.0067025940000001</v>
      </c>
      <c r="O553">
        <v>-182</v>
      </c>
      <c r="P553">
        <v>5</v>
      </c>
      <c r="Q553">
        <v>187</v>
      </c>
      <c r="R553">
        <v>107744</v>
      </c>
      <c r="S553">
        <v>-4940</v>
      </c>
      <c r="T553">
        <v>-1820</v>
      </c>
      <c r="U553">
        <v>50</v>
      </c>
      <c r="V553" t="s">
        <v>37</v>
      </c>
      <c r="W553">
        <v>0</v>
      </c>
      <c r="X553">
        <v>0</v>
      </c>
      <c r="Y553">
        <v>0</v>
      </c>
      <c r="Z553">
        <v>2.2273850000000001E-2</v>
      </c>
      <c r="AA553">
        <v>112684</v>
      </c>
      <c r="AB553">
        <v>0.02</v>
      </c>
      <c r="AC553">
        <v>-1770</v>
      </c>
      <c r="AD553">
        <v>-1.5707643E-2</v>
      </c>
      <c r="AE553">
        <v>0</v>
      </c>
      <c r="AF553">
        <v>0</v>
      </c>
      <c r="AG553">
        <v>0</v>
      </c>
      <c r="AH553">
        <f t="shared" si="8"/>
        <v>0</v>
      </c>
    </row>
    <row r="554" spans="1:34" x14ac:dyDescent="0.25">
      <c r="A554" s="1">
        <v>44308</v>
      </c>
      <c r="B554">
        <v>591</v>
      </c>
      <c r="C554">
        <v>-1.689189E-3</v>
      </c>
      <c r="D554">
        <v>984</v>
      </c>
      <c r="E554">
        <v>-4.0485829999999997E-3</v>
      </c>
      <c r="F554">
        <v>2.3593939999999999E-3</v>
      </c>
      <c r="G554">
        <v>2.3593939999999999E-3</v>
      </c>
      <c r="H554">
        <v>7.1046490000000002E-3</v>
      </c>
      <c r="I554">
        <v>2.0568634999999998E-2</v>
      </c>
      <c r="J554">
        <v>1</v>
      </c>
      <c r="K554">
        <v>0</v>
      </c>
      <c r="L554">
        <v>-1</v>
      </c>
      <c r="M554">
        <v>5</v>
      </c>
      <c r="N554">
        <v>3.9905464560000001</v>
      </c>
      <c r="O554">
        <v>-182</v>
      </c>
      <c r="P554">
        <v>5</v>
      </c>
      <c r="Q554">
        <v>187</v>
      </c>
      <c r="R554">
        <v>107562</v>
      </c>
      <c r="S554">
        <v>-4920</v>
      </c>
      <c r="T554">
        <v>-2002</v>
      </c>
      <c r="U554">
        <v>70</v>
      </c>
      <c r="V554" t="s">
        <v>35</v>
      </c>
      <c r="W554">
        <v>107562</v>
      </c>
      <c r="X554">
        <v>-4920</v>
      </c>
      <c r="Y554">
        <v>-1932</v>
      </c>
      <c r="Z554">
        <v>2.0568634999999998E-2</v>
      </c>
      <c r="AA554">
        <v>112482</v>
      </c>
      <c r="AB554">
        <v>0.02</v>
      </c>
      <c r="AC554">
        <v>-1932</v>
      </c>
      <c r="AD554">
        <v>-1.7176081999999999E-2</v>
      </c>
      <c r="AE554">
        <v>0</v>
      </c>
      <c r="AF554">
        <v>-1932</v>
      </c>
      <c r="AG554">
        <v>0</v>
      </c>
      <c r="AH554">
        <f t="shared" si="8"/>
        <v>-1.7176081506374355E-2</v>
      </c>
    </row>
    <row r="555" spans="1:34" x14ac:dyDescent="0.25">
      <c r="A555" s="1">
        <v>44309</v>
      </c>
      <c r="B555">
        <v>602</v>
      </c>
      <c r="C555">
        <v>1.8612521E-2</v>
      </c>
      <c r="D555">
        <v>1035</v>
      </c>
      <c r="E555">
        <v>5.1829267999999998E-2</v>
      </c>
      <c r="F555">
        <v>-3.3216746999999998E-2</v>
      </c>
      <c r="G555">
        <v>3.3216746999999998E-2</v>
      </c>
      <c r="H555">
        <v>1.3479338E-2</v>
      </c>
      <c r="I555">
        <v>2.9629776E-2</v>
      </c>
      <c r="J555">
        <v>0</v>
      </c>
      <c r="K555">
        <v>1</v>
      </c>
      <c r="L555">
        <v>1</v>
      </c>
      <c r="M555">
        <v>5</v>
      </c>
      <c r="N555">
        <v>4.7875545119999998</v>
      </c>
      <c r="O555">
        <v>24</v>
      </c>
      <c r="P555">
        <v>-5</v>
      </c>
      <c r="Q555">
        <v>29</v>
      </c>
      <c r="R555">
        <v>-14448</v>
      </c>
      <c r="S555">
        <v>5175</v>
      </c>
      <c r="T555">
        <v>0</v>
      </c>
      <c r="U555">
        <v>0</v>
      </c>
      <c r="V555" t="s">
        <v>34</v>
      </c>
      <c r="W555">
        <v>-14448</v>
      </c>
      <c r="X555">
        <v>5175</v>
      </c>
      <c r="Y555">
        <v>0</v>
      </c>
      <c r="Z555">
        <v>2.9629776E-2</v>
      </c>
      <c r="AA555">
        <v>19623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19623</v>
      </c>
      <c r="AH555">
        <f t="shared" si="8"/>
        <v>0</v>
      </c>
    </row>
    <row r="556" spans="1:34" x14ac:dyDescent="0.25">
      <c r="A556" s="1">
        <v>44312</v>
      </c>
      <c r="B556">
        <v>610</v>
      </c>
      <c r="C556">
        <v>1.3289037E-2</v>
      </c>
      <c r="D556">
        <v>1070</v>
      </c>
      <c r="E556">
        <v>3.3816424999999997E-2</v>
      </c>
      <c r="F556">
        <v>-2.0527389E-2</v>
      </c>
      <c r="G556">
        <v>2.0527389E-2</v>
      </c>
      <c r="H556">
        <v>1.3928724999999999E-2</v>
      </c>
      <c r="I556">
        <v>2.7102273999999999E-2</v>
      </c>
      <c r="J556">
        <v>0</v>
      </c>
      <c r="K556">
        <v>1</v>
      </c>
      <c r="L556">
        <v>0</v>
      </c>
      <c r="M556">
        <v>5</v>
      </c>
      <c r="N556">
        <v>4.4636295239999999</v>
      </c>
      <c r="O556">
        <v>-24</v>
      </c>
      <c r="P556">
        <v>5</v>
      </c>
      <c r="Q556">
        <v>29</v>
      </c>
      <c r="R556">
        <v>14640</v>
      </c>
      <c r="S556">
        <v>-5350</v>
      </c>
      <c r="T556">
        <v>192</v>
      </c>
      <c r="U556">
        <v>-175</v>
      </c>
      <c r="V556" t="s">
        <v>37</v>
      </c>
      <c r="W556">
        <v>0</v>
      </c>
      <c r="X556">
        <v>0</v>
      </c>
      <c r="Y556">
        <v>0</v>
      </c>
      <c r="Z556">
        <v>2.7102273999999999E-2</v>
      </c>
      <c r="AA556">
        <v>19990</v>
      </c>
      <c r="AB556">
        <v>0</v>
      </c>
      <c r="AC556">
        <v>17</v>
      </c>
      <c r="AD556">
        <v>8.5042500000000003E-4</v>
      </c>
      <c r="AE556">
        <v>0</v>
      </c>
      <c r="AF556">
        <v>0</v>
      </c>
      <c r="AG556">
        <v>0</v>
      </c>
      <c r="AH556">
        <f t="shared" si="8"/>
        <v>0</v>
      </c>
    </row>
    <row r="557" spans="1:34" x14ac:dyDescent="0.25">
      <c r="A557" s="1">
        <v>44313</v>
      </c>
      <c r="B557">
        <v>610</v>
      </c>
      <c r="C557">
        <v>0</v>
      </c>
      <c r="D557">
        <v>1065</v>
      </c>
      <c r="E557">
        <v>-4.6728969999999996E-3</v>
      </c>
      <c r="F557">
        <v>4.6728969999999996E-3</v>
      </c>
      <c r="G557">
        <v>4.6728969999999996E-3</v>
      </c>
      <c r="H557">
        <v>1.3827645E-2</v>
      </c>
      <c r="I557">
        <v>2.7718307000000001E-2</v>
      </c>
      <c r="J557">
        <v>1</v>
      </c>
      <c r="K557">
        <v>0</v>
      </c>
      <c r="L557">
        <v>-1</v>
      </c>
      <c r="M557">
        <v>5</v>
      </c>
      <c r="N557" t="s">
        <v>36</v>
      </c>
      <c r="O557">
        <v>-24</v>
      </c>
      <c r="P557">
        <v>5</v>
      </c>
      <c r="Q557">
        <v>29</v>
      </c>
      <c r="R557">
        <v>14640</v>
      </c>
      <c r="S557">
        <v>-5325</v>
      </c>
      <c r="T557">
        <v>192</v>
      </c>
      <c r="U557">
        <v>-150</v>
      </c>
      <c r="V557" t="s">
        <v>35</v>
      </c>
      <c r="W557">
        <v>14640</v>
      </c>
      <c r="X557">
        <v>-5325</v>
      </c>
      <c r="Y557">
        <v>42</v>
      </c>
      <c r="Z557">
        <v>2.7718307000000001E-2</v>
      </c>
      <c r="AA557">
        <v>19965</v>
      </c>
      <c r="AB557">
        <v>0</v>
      </c>
      <c r="AC557">
        <v>42</v>
      </c>
      <c r="AD557">
        <v>2.103681E-3</v>
      </c>
      <c r="AE557">
        <v>0</v>
      </c>
      <c r="AF557">
        <v>42</v>
      </c>
      <c r="AG557">
        <v>0</v>
      </c>
      <c r="AH557">
        <f t="shared" si="8"/>
        <v>2.1036814425244178E-3</v>
      </c>
    </row>
    <row r="558" spans="1:34" x14ac:dyDescent="0.25">
      <c r="A558" s="1">
        <v>44314</v>
      </c>
      <c r="B558">
        <v>602</v>
      </c>
      <c r="C558">
        <v>-1.3114753999999999E-2</v>
      </c>
      <c r="D558">
        <v>1080</v>
      </c>
      <c r="E558">
        <v>1.4084507E-2</v>
      </c>
      <c r="F558">
        <v>-2.7199260999999999E-2</v>
      </c>
      <c r="G558">
        <v>2.7199260999999999E-2</v>
      </c>
      <c r="H558">
        <v>1.2643267999999999E-2</v>
      </c>
      <c r="I558">
        <v>2.4545399999999998E-2</v>
      </c>
      <c r="J558">
        <v>0</v>
      </c>
      <c r="K558">
        <v>1</v>
      </c>
      <c r="L558">
        <v>1</v>
      </c>
      <c r="M558">
        <v>5</v>
      </c>
      <c r="N558">
        <v>1.926676337</v>
      </c>
      <c r="O558">
        <v>10</v>
      </c>
      <c r="P558">
        <v>-5</v>
      </c>
      <c r="Q558">
        <v>15</v>
      </c>
      <c r="R558">
        <v>-6020</v>
      </c>
      <c r="S558">
        <v>5400</v>
      </c>
      <c r="T558">
        <v>0</v>
      </c>
      <c r="U558">
        <v>0</v>
      </c>
      <c r="V558" t="s">
        <v>34</v>
      </c>
      <c r="W558">
        <v>-6020</v>
      </c>
      <c r="X558">
        <v>5400</v>
      </c>
      <c r="Y558">
        <v>0</v>
      </c>
      <c r="Z558">
        <v>2.4545399999999998E-2</v>
      </c>
      <c r="AA558">
        <v>11420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11420</v>
      </c>
      <c r="AH558">
        <f t="shared" si="8"/>
        <v>0</v>
      </c>
    </row>
    <row r="559" spans="1:34" x14ac:dyDescent="0.25">
      <c r="A559" s="1">
        <v>44315</v>
      </c>
      <c r="B559">
        <v>600</v>
      </c>
      <c r="C559">
        <v>-3.3222590000000001E-3</v>
      </c>
      <c r="D559">
        <v>1185</v>
      </c>
      <c r="E559">
        <v>9.7222221999999997E-2</v>
      </c>
      <c r="F559">
        <v>-0.100544481</v>
      </c>
      <c r="G559">
        <v>0.100544481</v>
      </c>
      <c r="H559">
        <v>1.2827979E-2</v>
      </c>
      <c r="I559">
        <v>3.9076560000000003E-2</v>
      </c>
      <c r="J559">
        <v>0</v>
      </c>
      <c r="K559">
        <v>1</v>
      </c>
      <c r="L559">
        <v>0</v>
      </c>
      <c r="M559">
        <v>5</v>
      </c>
      <c r="N559">
        <v>57.796180560000003</v>
      </c>
      <c r="O559">
        <v>-10</v>
      </c>
      <c r="P559">
        <v>5</v>
      </c>
      <c r="Q559">
        <v>15</v>
      </c>
      <c r="R559">
        <v>6000</v>
      </c>
      <c r="S559">
        <v>-5925</v>
      </c>
      <c r="T559">
        <v>-20</v>
      </c>
      <c r="U559">
        <v>-525</v>
      </c>
      <c r="V559" t="s">
        <v>37</v>
      </c>
      <c r="W559">
        <v>0</v>
      </c>
      <c r="X559">
        <v>0</v>
      </c>
      <c r="Y559">
        <v>0</v>
      </c>
      <c r="Z559">
        <v>3.9076560000000003E-2</v>
      </c>
      <c r="AA559">
        <v>11925</v>
      </c>
      <c r="AB559">
        <v>0</v>
      </c>
      <c r="AC559">
        <v>-545</v>
      </c>
      <c r="AD559">
        <v>-4.5702305999999998E-2</v>
      </c>
      <c r="AE559">
        <v>1</v>
      </c>
      <c r="AF559">
        <v>-545</v>
      </c>
      <c r="AG559">
        <v>0</v>
      </c>
      <c r="AH559">
        <f t="shared" si="8"/>
        <v>-4.5702306079664572E-2</v>
      </c>
    </row>
    <row r="560" spans="1:34" x14ac:dyDescent="0.25">
      <c r="A560" s="1">
        <v>44319</v>
      </c>
      <c r="B560">
        <v>588</v>
      </c>
      <c r="C560">
        <v>-0.02</v>
      </c>
      <c r="D560">
        <v>1105</v>
      </c>
      <c r="E560">
        <v>-6.7510549000000003E-2</v>
      </c>
      <c r="F560">
        <v>4.7510548999999999E-2</v>
      </c>
      <c r="G560">
        <v>4.7510548999999999E-2</v>
      </c>
      <c r="H560">
        <v>1.2771716000000001E-2</v>
      </c>
      <c r="I560">
        <v>5.9811274999999997E-2</v>
      </c>
      <c r="J560">
        <v>1</v>
      </c>
      <c r="K560">
        <v>0</v>
      </c>
      <c r="L560">
        <v>-1</v>
      </c>
      <c r="M560">
        <v>5</v>
      </c>
      <c r="N560">
        <v>6.3434656560000002</v>
      </c>
      <c r="O560">
        <v>-10</v>
      </c>
      <c r="P560">
        <v>5</v>
      </c>
      <c r="Q560">
        <v>15</v>
      </c>
      <c r="R560">
        <v>5880</v>
      </c>
      <c r="S560">
        <v>-5525</v>
      </c>
      <c r="T560">
        <v>-140</v>
      </c>
      <c r="U560">
        <v>-125</v>
      </c>
      <c r="V560" t="s">
        <v>35</v>
      </c>
      <c r="W560">
        <v>5880</v>
      </c>
      <c r="X560">
        <v>-5525</v>
      </c>
      <c r="Y560">
        <v>-265</v>
      </c>
      <c r="Z560">
        <v>5.9811274999999997E-2</v>
      </c>
      <c r="AA560">
        <v>11405</v>
      </c>
      <c r="AB560">
        <v>0</v>
      </c>
      <c r="AC560">
        <v>-265</v>
      </c>
      <c r="AD560">
        <v>-2.3235423000000002E-2</v>
      </c>
      <c r="AE560">
        <v>0</v>
      </c>
      <c r="AF560">
        <v>0</v>
      </c>
      <c r="AG560">
        <v>0</v>
      </c>
      <c r="AH560">
        <f t="shared" si="8"/>
        <v>0</v>
      </c>
    </row>
    <row r="561" spans="1:34" x14ac:dyDescent="0.25">
      <c r="A561" s="1">
        <v>44320</v>
      </c>
      <c r="B561">
        <v>591</v>
      </c>
      <c r="C561">
        <v>5.1020409999999999E-3</v>
      </c>
      <c r="D561">
        <v>1085</v>
      </c>
      <c r="E561">
        <v>-1.8099548E-2</v>
      </c>
      <c r="F561">
        <v>2.3201587999999999E-2</v>
      </c>
      <c r="G561">
        <v>2.3201587999999999E-2</v>
      </c>
      <c r="H561">
        <v>1.0157373000000001E-2</v>
      </c>
      <c r="I561">
        <v>6.0144072999999999E-2</v>
      </c>
      <c r="J561">
        <v>1</v>
      </c>
      <c r="K561">
        <v>0</v>
      </c>
      <c r="L561">
        <v>0</v>
      </c>
      <c r="M561">
        <v>5</v>
      </c>
      <c r="N561">
        <v>6.5127745749999999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W561">
        <v>0</v>
      </c>
      <c r="X561">
        <v>0</v>
      </c>
      <c r="Y561">
        <v>0</v>
      </c>
      <c r="Z561">
        <v>6.0144072999999999E-2</v>
      </c>
      <c r="AA561">
        <v>0</v>
      </c>
      <c r="AB561" t="s">
        <v>33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f t="shared" si="8"/>
        <v>0</v>
      </c>
    </row>
    <row r="562" spans="1:34" x14ac:dyDescent="0.25">
      <c r="A562" s="1">
        <v>44321</v>
      </c>
      <c r="B562">
        <v>585</v>
      </c>
      <c r="C562">
        <v>-1.0152283999999999E-2</v>
      </c>
      <c r="D562">
        <v>1005</v>
      </c>
      <c r="E562">
        <v>-7.3732719000000002E-2</v>
      </c>
      <c r="F562">
        <v>6.3580435000000005E-2</v>
      </c>
      <c r="G562">
        <v>6.3580435000000005E-2</v>
      </c>
      <c r="H562">
        <v>9.5902999999999995E-3</v>
      </c>
      <c r="I562">
        <v>6.9840573000000003E-2</v>
      </c>
      <c r="J562">
        <v>1</v>
      </c>
      <c r="K562">
        <v>0</v>
      </c>
      <c r="L562">
        <v>0</v>
      </c>
      <c r="M562">
        <v>5</v>
      </c>
      <c r="N562">
        <v>12.47689944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W562">
        <v>0</v>
      </c>
      <c r="X562">
        <v>0</v>
      </c>
      <c r="Y562">
        <v>0</v>
      </c>
      <c r="Z562">
        <v>6.9840573000000003E-2</v>
      </c>
      <c r="AA562">
        <v>0</v>
      </c>
      <c r="AB562" t="s">
        <v>33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f t="shared" si="8"/>
        <v>0</v>
      </c>
    </row>
    <row r="563" spans="1:34" x14ac:dyDescent="0.25">
      <c r="A563" s="1">
        <v>44322</v>
      </c>
      <c r="B563">
        <v>587</v>
      </c>
      <c r="C563">
        <v>3.4188030000000002E-3</v>
      </c>
      <c r="D563">
        <v>1055</v>
      </c>
      <c r="E563">
        <v>4.9751244E-2</v>
      </c>
      <c r="F563">
        <v>-4.6332440000000003E-2</v>
      </c>
      <c r="G563">
        <v>4.6332440000000003E-2</v>
      </c>
      <c r="H563">
        <v>1.0335472E-2</v>
      </c>
      <c r="I563">
        <v>7.4529403999999994E-2</v>
      </c>
      <c r="J563">
        <v>0</v>
      </c>
      <c r="K563">
        <v>0</v>
      </c>
      <c r="L563">
        <v>0</v>
      </c>
      <c r="M563">
        <v>5</v>
      </c>
      <c r="N563">
        <v>26.15436446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W563">
        <v>0</v>
      </c>
      <c r="X563">
        <v>0</v>
      </c>
      <c r="Y563">
        <v>0</v>
      </c>
      <c r="Z563">
        <v>7.4529403999999994E-2</v>
      </c>
      <c r="AA563">
        <v>0</v>
      </c>
      <c r="AB563" t="s">
        <v>33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f t="shared" si="8"/>
        <v>0</v>
      </c>
    </row>
    <row r="564" spans="1:34" x14ac:dyDescent="0.25">
      <c r="A564" s="1">
        <v>44323</v>
      </c>
      <c r="B564">
        <v>599</v>
      </c>
      <c r="C564">
        <v>2.0442930000000002E-2</v>
      </c>
      <c r="D564">
        <v>1060</v>
      </c>
      <c r="E564">
        <v>4.7393360000000002E-3</v>
      </c>
      <c r="F564">
        <v>1.5703594000000001E-2</v>
      </c>
      <c r="G564">
        <v>1.5703594000000001E-2</v>
      </c>
      <c r="H564">
        <v>1.547917E-2</v>
      </c>
      <c r="I564">
        <v>5.1528222999999998E-2</v>
      </c>
      <c r="J564">
        <v>1</v>
      </c>
      <c r="K564">
        <v>0</v>
      </c>
      <c r="L564">
        <v>0</v>
      </c>
      <c r="M564">
        <v>5</v>
      </c>
      <c r="N564">
        <v>0.41025458399999998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W564">
        <v>0</v>
      </c>
      <c r="X564">
        <v>0</v>
      </c>
      <c r="Y564">
        <v>0</v>
      </c>
      <c r="Z564">
        <v>5.1528222999999998E-2</v>
      </c>
      <c r="AA564">
        <v>0</v>
      </c>
      <c r="AB564" t="s">
        <v>33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f t="shared" si="8"/>
        <v>0</v>
      </c>
    </row>
    <row r="565" spans="1:34" x14ac:dyDescent="0.25">
      <c r="A565" s="1">
        <v>44326</v>
      </c>
      <c r="B565">
        <v>589</v>
      </c>
      <c r="C565">
        <v>-1.6694490999999999E-2</v>
      </c>
      <c r="D565">
        <v>979</v>
      </c>
      <c r="E565">
        <v>-7.6415094000000003E-2</v>
      </c>
      <c r="F565">
        <v>5.9720603999999997E-2</v>
      </c>
      <c r="G565">
        <v>5.9720603999999997E-2</v>
      </c>
      <c r="H565">
        <v>1.446125E-2</v>
      </c>
      <c r="I565">
        <v>5.3649093000000002E-2</v>
      </c>
      <c r="J565">
        <v>1</v>
      </c>
      <c r="K565">
        <v>1</v>
      </c>
      <c r="L565">
        <v>1</v>
      </c>
      <c r="M565">
        <v>5</v>
      </c>
      <c r="N565">
        <v>7.6080502609999998</v>
      </c>
      <c r="O565">
        <v>-39</v>
      </c>
      <c r="P565">
        <v>5</v>
      </c>
      <c r="Q565">
        <v>44</v>
      </c>
      <c r="R565">
        <v>22971</v>
      </c>
      <c r="S565">
        <v>-4895</v>
      </c>
      <c r="T565">
        <v>0</v>
      </c>
      <c r="U565">
        <v>0</v>
      </c>
      <c r="V565" t="s">
        <v>34</v>
      </c>
      <c r="W565">
        <v>22971</v>
      </c>
      <c r="X565">
        <v>-4895</v>
      </c>
      <c r="Y565">
        <v>0</v>
      </c>
      <c r="Z565">
        <v>5.3649093000000002E-2</v>
      </c>
      <c r="AA565">
        <v>27866</v>
      </c>
      <c r="AB565">
        <v>0.01</v>
      </c>
      <c r="AC565">
        <v>0</v>
      </c>
      <c r="AD565">
        <v>0</v>
      </c>
      <c r="AE565">
        <v>0</v>
      </c>
      <c r="AF565">
        <v>0</v>
      </c>
      <c r="AG565">
        <v>27866</v>
      </c>
      <c r="AH565">
        <f t="shared" si="8"/>
        <v>0</v>
      </c>
    </row>
    <row r="566" spans="1:34" x14ac:dyDescent="0.25">
      <c r="A566" s="1">
        <v>44327</v>
      </c>
      <c r="B566">
        <v>571</v>
      </c>
      <c r="C566">
        <v>-3.0560271999999999E-2</v>
      </c>
      <c r="D566">
        <v>911</v>
      </c>
      <c r="E566">
        <v>-6.9458631000000007E-2</v>
      </c>
      <c r="F566">
        <v>3.889836E-2</v>
      </c>
      <c r="G566">
        <v>3.889836E-2</v>
      </c>
      <c r="H566">
        <v>1.9495186000000001E-2</v>
      </c>
      <c r="I566">
        <v>5.7326433000000003E-2</v>
      </c>
      <c r="J566">
        <v>1</v>
      </c>
      <c r="K566">
        <v>1</v>
      </c>
      <c r="L566">
        <v>0</v>
      </c>
      <c r="M566">
        <v>5</v>
      </c>
      <c r="N566">
        <v>3.62619604</v>
      </c>
      <c r="O566">
        <v>39</v>
      </c>
      <c r="P566">
        <v>-5</v>
      </c>
      <c r="Q566">
        <v>44</v>
      </c>
      <c r="R566">
        <v>-22269</v>
      </c>
      <c r="S566">
        <v>4555</v>
      </c>
      <c r="T566">
        <v>702</v>
      </c>
      <c r="U566">
        <v>-340</v>
      </c>
      <c r="V566" t="s">
        <v>37</v>
      </c>
      <c r="W566">
        <v>0</v>
      </c>
      <c r="X566">
        <v>0</v>
      </c>
      <c r="Y566">
        <v>0</v>
      </c>
      <c r="Z566">
        <v>5.7326433000000003E-2</v>
      </c>
      <c r="AA566">
        <v>26824</v>
      </c>
      <c r="AB566">
        <v>0.01</v>
      </c>
      <c r="AC566">
        <v>362</v>
      </c>
      <c r="AD566">
        <v>1.3495376999999999E-2</v>
      </c>
      <c r="AE566">
        <v>0</v>
      </c>
      <c r="AF566">
        <v>0</v>
      </c>
      <c r="AG566">
        <v>0</v>
      </c>
      <c r="AH566">
        <f t="shared" si="8"/>
        <v>0</v>
      </c>
    </row>
    <row r="567" spans="1:34" x14ac:dyDescent="0.25">
      <c r="A567" s="1">
        <v>44328</v>
      </c>
      <c r="B567">
        <v>560</v>
      </c>
      <c r="C567">
        <v>-1.9264448E-2</v>
      </c>
      <c r="D567">
        <v>888</v>
      </c>
      <c r="E567">
        <v>-2.5246981000000002E-2</v>
      </c>
      <c r="F567">
        <v>5.9825329999999999E-3</v>
      </c>
      <c r="G567">
        <v>5.9825329999999999E-3</v>
      </c>
      <c r="H567">
        <v>2.0306555E-2</v>
      </c>
      <c r="I567">
        <v>5.2626772000000002E-2</v>
      </c>
      <c r="J567">
        <v>1</v>
      </c>
      <c r="K567">
        <v>1</v>
      </c>
      <c r="L567">
        <v>0</v>
      </c>
      <c r="M567">
        <v>5</v>
      </c>
      <c r="N567">
        <v>2.0781544470000002</v>
      </c>
      <c r="O567">
        <v>39</v>
      </c>
      <c r="P567">
        <v>-5</v>
      </c>
      <c r="Q567">
        <v>44</v>
      </c>
      <c r="R567">
        <v>-21840</v>
      </c>
      <c r="S567">
        <v>4440</v>
      </c>
      <c r="T567">
        <v>1131</v>
      </c>
      <c r="U567">
        <v>-455</v>
      </c>
      <c r="V567" t="s">
        <v>37</v>
      </c>
      <c r="W567">
        <v>0</v>
      </c>
      <c r="X567">
        <v>0</v>
      </c>
      <c r="Y567">
        <v>0</v>
      </c>
      <c r="Z567">
        <v>5.2626772000000002E-2</v>
      </c>
      <c r="AA567">
        <v>26280</v>
      </c>
      <c r="AB567">
        <v>0.01</v>
      </c>
      <c r="AC567">
        <v>676</v>
      </c>
      <c r="AD567">
        <v>2.5722983000000001E-2</v>
      </c>
      <c r="AE567">
        <v>0</v>
      </c>
      <c r="AF567">
        <v>0</v>
      </c>
      <c r="AG567">
        <v>0</v>
      </c>
      <c r="AH567">
        <f t="shared" si="8"/>
        <v>0</v>
      </c>
    </row>
    <row r="568" spans="1:34" x14ac:dyDescent="0.25">
      <c r="A568" s="1">
        <v>44329</v>
      </c>
      <c r="B568">
        <v>547</v>
      </c>
      <c r="C568">
        <v>-2.3214286000000001E-2</v>
      </c>
      <c r="D568">
        <v>873</v>
      </c>
      <c r="E568">
        <v>-1.6891891999999999E-2</v>
      </c>
      <c r="F568">
        <v>-6.3223940000000003E-3</v>
      </c>
      <c r="G568">
        <v>6.3223940000000003E-3</v>
      </c>
      <c r="H568">
        <v>1.9876715E-2</v>
      </c>
      <c r="I568">
        <v>3.4968406E-2</v>
      </c>
      <c r="J568">
        <v>0</v>
      </c>
      <c r="K568">
        <v>0</v>
      </c>
      <c r="L568">
        <v>-1</v>
      </c>
      <c r="M568">
        <v>5</v>
      </c>
      <c r="N568">
        <v>1.1613145979999999</v>
      </c>
      <c r="O568">
        <v>39</v>
      </c>
      <c r="P568">
        <v>-5</v>
      </c>
      <c r="Q568">
        <v>44</v>
      </c>
      <c r="R568">
        <v>-21333</v>
      </c>
      <c r="S568">
        <v>4365</v>
      </c>
      <c r="T568">
        <v>1638</v>
      </c>
      <c r="U568">
        <v>-530</v>
      </c>
      <c r="V568" t="s">
        <v>35</v>
      </c>
      <c r="W568">
        <v>-21333</v>
      </c>
      <c r="X568">
        <v>4365</v>
      </c>
      <c r="Y568">
        <v>1108</v>
      </c>
      <c r="Z568">
        <v>3.4968406E-2</v>
      </c>
      <c r="AA568">
        <v>25698</v>
      </c>
      <c r="AB568">
        <v>0.01</v>
      </c>
      <c r="AC568">
        <v>1108</v>
      </c>
      <c r="AD568">
        <v>4.3116196000000002E-2</v>
      </c>
      <c r="AE568">
        <v>0</v>
      </c>
      <c r="AF568">
        <v>1108</v>
      </c>
      <c r="AG568">
        <v>0</v>
      </c>
      <c r="AH568">
        <f t="shared" si="8"/>
        <v>4.3116195812903726E-2</v>
      </c>
    </row>
    <row r="569" spans="1:34" x14ac:dyDescent="0.25">
      <c r="A569" s="1">
        <v>44330</v>
      </c>
      <c r="B569">
        <v>557</v>
      </c>
      <c r="C569">
        <v>1.8281536000000001E-2</v>
      </c>
      <c r="D569">
        <v>895</v>
      </c>
      <c r="E569">
        <v>2.5200457999999998E-2</v>
      </c>
      <c r="F569">
        <v>-6.9189229999999996E-3</v>
      </c>
      <c r="G569">
        <v>6.9189229999999996E-3</v>
      </c>
      <c r="H569">
        <v>1.8945950999999999E-2</v>
      </c>
      <c r="I569">
        <v>4.1593325E-2</v>
      </c>
      <c r="J569">
        <v>0</v>
      </c>
      <c r="K569">
        <v>0</v>
      </c>
      <c r="L569">
        <v>0</v>
      </c>
      <c r="M569">
        <v>5</v>
      </c>
      <c r="N569">
        <v>2.2149483509999999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W569">
        <v>0</v>
      </c>
      <c r="X569">
        <v>0</v>
      </c>
      <c r="Y569">
        <v>0</v>
      </c>
      <c r="Z569">
        <v>4.1593325E-2</v>
      </c>
      <c r="AA569">
        <v>0</v>
      </c>
      <c r="AB569" t="s">
        <v>33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f t="shared" si="8"/>
        <v>0</v>
      </c>
    </row>
    <row r="570" spans="1:34" x14ac:dyDescent="0.25">
      <c r="A570" s="1">
        <v>44333</v>
      </c>
      <c r="B570">
        <v>549</v>
      </c>
      <c r="C570">
        <v>-1.4362656999999999E-2</v>
      </c>
      <c r="D570">
        <v>914</v>
      </c>
      <c r="E570">
        <v>2.1229049999999999E-2</v>
      </c>
      <c r="F570">
        <v>-3.5591707E-2</v>
      </c>
      <c r="G570">
        <v>3.5591707E-2</v>
      </c>
      <c r="H570">
        <v>1.8900624000000001E-2</v>
      </c>
      <c r="I570">
        <v>3.8676898000000001E-2</v>
      </c>
      <c r="J570">
        <v>0</v>
      </c>
      <c r="K570">
        <v>0</v>
      </c>
      <c r="L570">
        <v>0</v>
      </c>
      <c r="M570">
        <v>5</v>
      </c>
      <c r="N570">
        <v>2.460762076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W570">
        <v>0</v>
      </c>
      <c r="X570">
        <v>0</v>
      </c>
      <c r="Y570">
        <v>0</v>
      </c>
      <c r="Z570">
        <v>3.8676898000000001E-2</v>
      </c>
      <c r="AA570">
        <v>0</v>
      </c>
      <c r="AB570" t="s">
        <v>33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f t="shared" si="8"/>
        <v>0</v>
      </c>
    </row>
    <row r="571" spans="1:34" x14ac:dyDescent="0.25">
      <c r="A571" s="1">
        <v>44334</v>
      </c>
      <c r="B571">
        <v>572</v>
      </c>
      <c r="C571">
        <v>4.1894353000000002E-2</v>
      </c>
      <c r="D571">
        <v>994</v>
      </c>
      <c r="E571">
        <v>8.7527352000000003E-2</v>
      </c>
      <c r="F571">
        <v>-4.5632999E-2</v>
      </c>
      <c r="G571">
        <v>4.5632999E-2</v>
      </c>
      <c r="H571">
        <v>2.829945E-2</v>
      </c>
      <c r="I571">
        <v>4.4674967000000003E-2</v>
      </c>
      <c r="J571">
        <v>0</v>
      </c>
      <c r="K571">
        <v>1</v>
      </c>
      <c r="L571">
        <v>1</v>
      </c>
      <c r="M571">
        <v>5</v>
      </c>
      <c r="N571">
        <v>3.630602106</v>
      </c>
      <c r="O571">
        <v>19</v>
      </c>
      <c r="P571">
        <v>-5</v>
      </c>
      <c r="Q571">
        <v>24</v>
      </c>
      <c r="R571">
        <v>-10868</v>
      </c>
      <c r="S571">
        <v>4970</v>
      </c>
      <c r="T571">
        <v>0</v>
      </c>
      <c r="U571">
        <v>0</v>
      </c>
      <c r="V571" t="s">
        <v>34</v>
      </c>
      <c r="W571">
        <v>-10868</v>
      </c>
      <c r="X571">
        <v>4970</v>
      </c>
      <c r="Y571">
        <v>0</v>
      </c>
      <c r="Z571">
        <v>4.4674967000000003E-2</v>
      </c>
      <c r="AA571">
        <v>15838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15838</v>
      </c>
      <c r="AH571">
        <f t="shared" si="8"/>
        <v>0</v>
      </c>
    </row>
    <row r="572" spans="1:34" x14ac:dyDescent="0.25">
      <c r="A572" s="1">
        <v>44335</v>
      </c>
      <c r="B572">
        <v>567</v>
      </c>
      <c r="C572">
        <v>-8.7412589999999995E-3</v>
      </c>
      <c r="D572">
        <v>943</v>
      </c>
      <c r="E572">
        <v>-5.1307846999999997E-2</v>
      </c>
      <c r="F572">
        <v>4.2566588000000002E-2</v>
      </c>
      <c r="G572">
        <v>4.2566588000000002E-2</v>
      </c>
      <c r="H572">
        <v>2.6798054000000002E-2</v>
      </c>
      <c r="I572">
        <v>5.1961054E-2</v>
      </c>
      <c r="J572">
        <v>1</v>
      </c>
      <c r="K572">
        <v>0</v>
      </c>
      <c r="L572">
        <v>-1</v>
      </c>
      <c r="M572">
        <v>5</v>
      </c>
      <c r="N572">
        <v>9.7619920580000006</v>
      </c>
      <c r="O572">
        <v>-19</v>
      </c>
      <c r="P572">
        <v>5</v>
      </c>
      <c r="Q572">
        <v>24</v>
      </c>
      <c r="R572">
        <v>10773</v>
      </c>
      <c r="S572">
        <v>-4715</v>
      </c>
      <c r="T572">
        <v>-95</v>
      </c>
      <c r="U572">
        <v>255</v>
      </c>
      <c r="V572" t="s">
        <v>35</v>
      </c>
      <c r="W572">
        <v>10773</v>
      </c>
      <c r="X572">
        <v>-4715</v>
      </c>
      <c r="Y572">
        <v>160</v>
      </c>
      <c r="Z572">
        <v>5.1961054E-2</v>
      </c>
      <c r="AA572">
        <v>15488</v>
      </c>
      <c r="AB572">
        <v>0</v>
      </c>
      <c r="AC572">
        <v>160</v>
      </c>
      <c r="AD572">
        <v>1.0330578999999999E-2</v>
      </c>
      <c r="AE572">
        <v>0</v>
      </c>
      <c r="AF572">
        <v>160</v>
      </c>
      <c r="AG572">
        <v>0</v>
      </c>
      <c r="AH572">
        <f t="shared" si="8"/>
        <v>1.0330578512396695E-2</v>
      </c>
    </row>
    <row r="573" spans="1:34" x14ac:dyDescent="0.25">
      <c r="A573" s="1">
        <v>44336</v>
      </c>
      <c r="B573">
        <v>567</v>
      </c>
      <c r="C573">
        <v>0</v>
      </c>
      <c r="D573">
        <v>930</v>
      </c>
      <c r="E573">
        <v>-1.3785789999999999E-2</v>
      </c>
      <c r="F573">
        <v>1.3785789999999999E-2</v>
      </c>
      <c r="G573">
        <v>1.3785789999999999E-2</v>
      </c>
      <c r="H573">
        <v>2.2897493000000001E-2</v>
      </c>
      <c r="I573">
        <v>5.1528844999999997E-2</v>
      </c>
      <c r="J573">
        <v>1</v>
      </c>
      <c r="K573">
        <v>0</v>
      </c>
      <c r="L573">
        <v>0</v>
      </c>
      <c r="M573">
        <v>5</v>
      </c>
      <c r="N573" t="s">
        <v>36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W573">
        <v>0</v>
      </c>
      <c r="X573">
        <v>0</v>
      </c>
      <c r="Y573">
        <v>0</v>
      </c>
      <c r="Z573">
        <v>5.1528844999999997E-2</v>
      </c>
      <c r="AA573">
        <v>0</v>
      </c>
      <c r="AB573" t="s">
        <v>33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f t="shared" si="8"/>
        <v>0</v>
      </c>
    </row>
    <row r="574" spans="1:34" x14ac:dyDescent="0.25">
      <c r="A574" s="1">
        <v>44337</v>
      </c>
      <c r="B574">
        <v>573</v>
      </c>
      <c r="C574">
        <v>1.0582011000000001E-2</v>
      </c>
      <c r="D574">
        <v>955</v>
      </c>
      <c r="E574">
        <v>2.6881720000000001E-2</v>
      </c>
      <c r="F574">
        <v>-1.6299709999999999E-2</v>
      </c>
      <c r="G574">
        <v>1.6299709999999999E-2</v>
      </c>
      <c r="H574">
        <v>2.2233214000000001E-2</v>
      </c>
      <c r="I574">
        <v>5.1627451999999997E-2</v>
      </c>
      <c r="J574">
        <v>0</v>
      </c>
      <c r="K574">
        <v>0</v>
      </c>
      <c r="L574">
        <v>0</v>
      </c>
      <c r="M574">
        <v>5</v>
      </c>
      <c r="N574">
        <v>4.2338709679999997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W574">
        <v>0</v>
      </c>
      <c r="X574">
        <v>0</v>
      </c>
      <c r="Y574">
        <v>0</v>
      </c>
      <c r="Z574">
        <v>5.1627451999999997E-2</v>
      </c>
      <c r="AA574">
        <v>0</v>
      </c>
      <c r="AB574" t="s">
        <v>33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f t="shared" si="8"/>
        <v>0</v>
      </c>
    </row>
    <row r="575" spans="1:34" x14ac:dyDescent="0.25">
      <c r="A575" s="1">
        <v>44340</v>
      </c>
      <c r="B575">
        <v>568</v>
      </c>
      <c r="C575">
        <v>-8.7260029999999995E-3</v>
      </c>
      <c r="D575">
        <v>943</v>
      </c>
      <c r="E575">
        <v>-1.2565445E-2</v>
      </c>
      <c r="F575">
        <v>3.8394420000000002E-3</v>
      </c>
      <c r="G575">
        <v>3.8394420000000002E-3</v>
      </c>
      <c r="H575">
        <v>2.1062651000000002E-2</v>
      </c>
      <c r="I575">
        <v>5.2663994999999998E-2</v>
      </c>
      <c r="J575">
        <v>1</v>
      </c>
      <c r="K575">
        <v>0</v>
      </c>
      <c r="L575">
        <v>0</v>
      </c>
      <c r="M575">
        <v>5</v>
      </c>
      <c r="N575">
        <v>2.3907042249999999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W575">
        <v>0</v>
      </c>
      <c r="X575">
        <v>0</v>
      </c>
      <c r="Y575">
        <v>0</v>
      </c>
      <c r="Z575">
        <v>5.2663994999999998E-2</v>
      </c>
      <c r="AA575">
        <v>0</v>
      </c>
      <c r="AB575" t="s">
        <v>33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f t="shared" si="8"/>
        <v>0</v>
      </c>
    </row>
    <row r="576" spans="1:34" x14ac:dyDescent="0.25">
      <c r="A576" s="1">
        <v>44341</v>
      </c>
      <c r="B576">
        <v>583</v>
      </c>
      <c r="C576">
        <v>2.6408450999999999E-2</v>
      </c>
      <c r="D576">
        <v>952</v>
      </c>
      <c r="E576">
        <v>9.5440079999999997E-3</v>
      </c>
      <c r="F576">
        <v>1.6864442E-2</v>
      </c>
      <c r="G576">
        <v>1.6864442E-2</v>
      </c>
      <c r="H576">
        <v>1.4880414E-2</v>
      </c>
      <c r="I576">
        <v>2.9385840999999999E-2</v>
      </c>
      <c r="J576">
        <v>1</v>
      </c>
      <c r="K576">
        <v>0</v>
      </c>
      <c r="L576">
        <v>0</v>
      </c>
      <c r="M576">
        <v>5</v>
      </c>
      <c r="N576">
        <v>0.59014167799999995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W576">
        <v>0</v>
      </c>
      <c r="X576">
        <v>0</v>
      </c>
      <c r="Y576">
        <v>0</v>
      </c>
      <c r="Z576">
        <v>2.9385840999999999E-2</v>
      </c>
      <c r="AA576">
        <v>0</v>
      </c>
      <c r="AB576" t="s">
        <v>33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f t="shared" si="8"/>
        <v>0</v>
      </c>
    </row>
    <row r="577" spans="1:34" x14ac:dyDescent="0.25">
      <c r="A577" s="1">
        <v>44342</v>
      </c>
      <c r="B577">
        <v>585</v>
      </c>
      <c r="C577">
        <v>3.430532E-3</v>
      </c>
      <c r="D577">
        <v>951</v>
      </c>
      <c r="E577">
        <v>-1.05042E-3</v>
      </c>
      <c r="F577">
        <v>4.4809519999999999E-3</v>
      </c>
      <c r="G577">
        <v>4.4809519999999999E-3</v>
      </c>
      <c r="H577">
        <v>1.3194529E-2</v>
      </c>
      <c r="I577">
        <v>1.6929782000000001E-2</v>
      </c>
      <c r="J577">
        <v>1</v>
      </c>
      <c r="K577">
        <v>0</v>
      </c>
      <c r="L577">
        <v>0</v>
      </c>
      <c r="M577">
        <v>5</v>
      </c>
      <c r="N577">
        <v>0.49776718399999997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W577">
        <v>0</v>
      </c>
      <c r="X577">
        <v>0</v>
      </c>
      <c r="Y577">
        <v>0</v>
      </c>
      <c r="Z577">
        <v>1.6929782000000001E-2</v>
      </c>
      <c r="AA577">
        <v>0</v>
      </c>
      <c r="AB577" t="s">
        <v>33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f t="shared" si="8"/>
        <v>0</v>
      </c>
    </row>
    <row r="578" spans="1:34" x14ac:dyDescent="0.25">
      <c r="A578" s="1">
        <v>44343</v>
      </c>
      <c r="B578">
        <v>582</v>
      </c>
      <c r="C578">
        <v>-5.1282050000000003E-3</v>
      </c>
      <c r="D578">
        <v>935</v>
      </c>
      <c r="E578">
        <v>-1.6824394999999999E-2</v>
      </c>
      <c r="F578">
        <v>1.169619E-2</v>
      </c>
      <c r="G578">
        <v>1.169619E-2</v>
      </c>
      <c r="H578">
        <v>1.3986034E-2</v>
      </c>
      <c r="I578">
        <v>1.7667795E-2</v>
      </c>
      <c r="J578">
        <v>1</v>
      </c>
      <c r="K578">
        <v>0</v>
      </c>
      <c r="L578">
        <v>0</v>
      </c>
      <c r="M578">
        <v>5</v>
      </c>
      <c r="N578">
        <v>5.270632107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W578">
        <v>0</v>
      </c>
      <c r="X578">
        <v>0</v>
      </c>
      <c r="Y578">
        <v>0</v>
      </c>
      <c r="Z578">
        <v>1.7667795E-2</v>
      </c>
      <c r="AA578">
        <v>0</v>
      </c>
      <c r="AB578" t="s">
        <v>33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f t="shared" si="8"/>
        <v>0</v>
      </c>
    </row>
    <row r="579" spans="1:34" x14ac:dyDescent="0.25">
      <c r="A579" s="1">
        <v>44344</v>
      </c>
      <c r="B579">
        <v>590</v>
      </c>
      <c r="C579">
        <v>1.3745703999999999E-2</v>
      </c>
      <c r="D579">
        <v>961</v>
      </c>
      <c r="E579">
        <v>2.7807486999999999E-2</v>
      </c>
      <c r="F579">
        <v>-1.4061782E-2</v>
      </c>
      <c r="G579">
        <v>1.4061782E-2</v>
      </c>
      <c r="H579">
        <v>1.4350788999999999E-2</v>
      </c>
      <c r="I579">
        <v>1.800587E-2</v>
      </c>
      <c r="J579">
        <v>0</v>
      </c>
      <c r="K579">
        <v>0</v>
      </c>
      <c r="L579">
        <v>0</v>
      </c>
      <c r="M579">
        <v>5</v>
      </c>
      <c r="N579">
        <v>3.2950811199999999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W579">
        <v>0</v>
      </c>
      <c r="X579">
        <v>0</v>
      </c>
      <c r="Y579">
        <v>0</v>
      </c>
      <c r="Z579">
        <v>1.800587E-2</v>
      </c>
      <c r="AA579">
        <v>0</v>
      </c>
      <c r="AB579" t="s">
        <v>33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f t="shared" ref="AH579:AH642" si="9">IF(AF579&lt;&gt;0,AF579/AA579,0)</f>
        <v>0</v>
      </c>
    </row>
    <row r="580" spans="1:34" x14ac:dyDescent="0.25">
      <c r="A580" s="1">
        <v>44347</v>
      </c>
      <c r="B580">
        <v>597</v>
      </c>
      <c r="C580">
        <v>1.1864407E-2</v>
      </c>
      <c r="D580">
        <v>995</v>
      </c>
      <c r="E580">
        <v>3.5379813000000003E-2</v>
      </c>
      <c r="F580">
        <v>-2.3515405999999999E-2</v>
      </c>
      <c r="G580">
        <v>2.3515405999999999E-2</v>
      </c>
      <c r="H580">
        <v>1.1818878E-2</v>
      </c>
      <c r="I580">
        <v>2.1203728000000002E-2</v>
      </c>
      <c r="J580">
        <v>0</v>
      </c>
      <c r="K580">
        <v>1</v>
      </c>
      <c r="L580">
        <v>1</v>
      </c>
      <c r="M580">
        <v>5</v>
      </c>
      <c r="N580">
        <v>4.9700213069999997</v>
      </c>
      <c r="O580">
        <v>25</v>
      </c>
      <c r="P580">
        <v>-5</v>
      </c>
      <c r="Q580">
        <v>30</v>
      </c>
      <c r="R580">
        <v>-14925</v>
      </c>
      <c r="S580">
        <v>4975</v>
      </c>
      <c r="T580">
        <v>0</v>
      </c>
      <c r="U580">
        <v>0</v>
      </c>
      <c r="V580" t="s">
        <v>34</v>
      </c>
      <c r="W580">
        <v>-14925</v>
      </c>
      <c r="X580">
        <v>4975</v>
      </c>
      <c r="Y580">
        <v>0</v>
      </c>
      <c r="Z580">
        <v>2.1203728000000002E-2</v>
      </c>
      <c r="AA580">
        <v>19900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19900</v>
      </c>
      <c r="AH580">
        <f t="shared" si="9"/>
        <v>0</v>
      </c>
    </row>
    <row r="581" spans="1:34" x14ac:dyDescent="0.25">
      <c r="A581" s="1">
        <v>44348</v>
      </c>
      <c r="B581">
        <v>598</v>
      </c>
      <c r="C581">
        <v>1.6750420000000001E-3</v>
      </c>
      <c r="D581">
        <v>977</v>
      </c>
      <c r="E581">
        <v>-1.8090452E-2</v>
      </c>
      <c r="F581">
        <v>1.9765494000000002E-2</v>
      </c>
      <c r="G581">
        <v>1.9765494000000002E-2</v>
      </c>
      <c r="H581">
        <v>7.7401149999999997E-3</v>
      </c>
      <c r="I581">
        <v>2.4940969E-2</v>
      </c>
      <c r="J581">
        <v>1</v>
      </c>
      <c r="K581">
        <v>0</v>
      </c>
      <c r="L581">
        <v>-1</v>
      </c>
      <c r="M581">
        <v>5</v>
      </c>
      <c r="N581">
        <v>17.644816049999999</v>
      </c>
      <c r="O581">
        <v>-25</v>
      </c>
      <c r="P581">
        <v>5</v>
      </c>
      <c r="Q581">
        <v>30</v>
      </c>
      <c r="R581">
        <v>14950</v>
      </c>
      <c r="S581">
        <v>-4885</v>
      </c>
      <c r="T581">
        <v>25</v>
      </c>
      <c r="U581">
        <v>90</v>
      </c>
      <c r="V581" t="s">
        <v>35</v>
      </c>
      <c r="W581">
        <v>14950</v>
      </c>
      <c r="X581">
        <v>-4885</v>
      </c>
      <c r="Y581">
        <v>115</v>
      </c>
      <c r="Z581">
        <v>2.4940969E-2</v>
      </c>
      <c r="AA581">
        <v>19835</v>
      </c>
      <c r="AB581">
        <v>0</v>
      </c>
      <c r="AC581">
        <v>115</v>
      </c>
      <c r="AD581">
        <v>5.7978320000000002E-3</v>
      </c>
      <c r="AE581">
        <v>0</v>
      </c>
      <c r="AF581">
        <v>115</v>
      </c>
      <c r="AG581">
        <v>0</v>
      </c>
      <c r="AH581">
        <f t="shared" si="9"/>
        <v>5.7978321149483236E-3</v>
      </c>
    </row>
    <row r="582" spans="1:34" x14ac:dyDescent="0.25">
      <c r="A582" s="1">
        <v>44349</v>
      </c>
      <c r="B582">
        <v>595</v>
      </c>
      <c r="C582">
        <v>-5.0167220000000004E-3</v>
      </c>
      <c r="D582">
        <v>959</v>
      </c>
      <c r="E582">
        <v>-1.8423746000000001E-2</v>
      </c>
      <c r="F582">
        <v>1.3407024E-2</v>
      </c>
      <c r="G582">
        <v>1.3407024E-2</v>
      </c>
      <c r="H582">
        <v>9.0169680000000002E-3</v>
      </c>
      <c r="I582">
        <v>2.7181553000000001E-2</v>
      </c>
      <c r="J582">
        <v>1</v>
      </c>
      <c r="K582">
        <v>0</v>
      </c>
      <c r="L582">
        <v>0</v>
      </c>
      <c r="M582">
        <v>5</v>
      </c>
      <c r="N582">
        <v>5.9191522670000003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W582">
        <v>0</v>
      </c>
      <c r="X582">
        <v>0</v>
      </c>
      <c r="Y582">
        <v>0</v>
      </c>
      <c r="Z582">
        <v>2.7181553000000001E-2</v>
      </c>
      <c r="AA582">
        <v>0</v>
      </c>
      <c r="AB582" t="s">
        <v>33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f t="shared" si="9"/>
        <v>0</v>
      </c>
    </row>
    <row r="583" spans="1:34" x14ac:dyDescent="0.25">
      <c r="A583" s="1">
        <v>44350</v>
      </c>
      <c r="B583">
        <v>596</v>
      </c>
      <c r="C583">
        <v>1.680672E-3</v>
      </c>
      <c r="D583">
        <v>981</v>
      </c>
      <c r="E583">
        <v>2.2940563000000001E-2</v>
      </c>
      <c r="F583">
        <v>-2.1259891E-2</v>
      </c>
      <c r="G583">
        <v>2.1259891E-2</v>
      </c>
      <c r="H583">
        <v>7.8389180000000003E-3</v>
      </c>
      <c r="I583">
        <v>2.6103892E-2</v>
      </c>
      <c r="J583">
        <v>0</v>
      </c>
      <c r="K583">
        <v>0</v>
      </c>
      <c r="L583">
        <v>0</v>
      </c>
      <c r="M583">
        <v>5</v>
      </c>
      <c r="N583">
        <v>22.466932839999998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W583">
        <v>0</v>
      </c>
      <c r="X583">
        <v>0</v>
      </c>
      <c r="Y583">
        <v>0</v>
      </c>
      <c r="Z583">
        <v>2.6103892E-2</v>
      </c>
      <c r="AA583">
        <v>0</v>
      </c>
      <c r="AB583" t="s">
        <v>33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f t="shared" si="9"/>
        <v>0</v>
      </c>
    </row>
    <row r="584" spans="1:34" x14ac:dyDescent="0.25">
      <c r="A584" s="1">
        <v>44351</v>
      </c>
      <c r="B584">
        <v>595</v>
      </c>
      <c r="C584">
        <v>-1.6778520000000001E-3</v>
      </c>
      <c r="D584">
        <v>977</v>
      </c>
      <c r="E584">
        <v>-4.0774720000000004E-3</v>
      </c>
      <c r="F584">
        <v>2.3996199999999999E-3</v>
      </c>
      <c r="G584">
        <v>2.3996199999999999E-3</v>
      </c>
      <c r="H584">
        <v>6.3213979999999998E-3</v>
      </c>
      <c r="I584">
        <v>2.4487057E-2</v>
      </c>
      <c r="J584">
        <v>1</v>
      </c>
      <c r="K584">
        <v>0</v>
      </c>
      <c r="L584">
        <v>0</v>
      </c>
      <c r="M584">
        <v>5</v>
      </c>
      <c r="N584">
        <v>3.9903853900000001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W584">
        <v>0</v>
      </c>
      <c r="X584">
        <v>0</v>
      </c>
      <c r="Y584">
        <v>0</v>
      </c>
      <c r="Z584">
        <v>2.4487057E-2</v>
      </c>
      <c r="AA584">
        <v>0</v>
      </c>
      <c r="AB584" t="s">
        <v>33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f t="shared" si="9"/>
        <v>0</v>
      </c>
    </row>
    <row r="585" spans="1:34" x14ac:dyDescent="0.25">
      <c r="A585" s="1">
        <v>44354</v>
      </c>
      <c r="B585">
        <v>592</v>
      </c>
      <c r="C585">
        <v>-5.0420170000000002E-3</v>
      </c>
      <c r="D585">
        <v>973</v>
      </c>
      <c r="E585">
        <v>-4.0941659999999998E-3</v>
      </c>
      <c r="F585">
        <v>-9.4785099999999999E-4</v>
      </c>
      <c r="G585">
        <v>9.4785099999999999E-4</v>
      </c>
      <c r="H585">
        <v>3.3536260000000002E-3</v>
      </c>
      <c r="I585">
        <v>1.6821005999999999E-2</v>
      </c>
      <c r="J585">
        <v>0</v>
      </c>
      <c r="K585">
        <v>0</v>
      </c>
      <c r="L585">
        <v>0</v>
      </c>
      <c r="M585">
        <v>5</v>
      </c>
      <c r="N585">
        <v>1.3346035389999999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W585">
        <v>0</v>
      </c>
      <c r="X585">
        <v>0</v>
      </c>
      <c r="Y585">
        <v>0</v>
      </c>
      <c r="Z585">
        <v>1.6821005999999999E-2</v>
      </c>
      <c r="AA585">
        <v>0</v>
      </c>
      <c r="AB585" t="s">
        <v>33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f t="shared" si="9"/>
        <v>0</v>
      </c>
    </row>
    <row r="586" spans="1:34" x14ac:dyDescent="0.25">
      <c r="A586" s="1">
        <v>44355</v>
      </c>
      <c r="B586">
        <v>589</v>
      </c>
      <c r="C586">
        <v>-5.0675679999999997E-3</v>
      </c>
      <c r="D586">
        <v>966</v>
      </c>
      <c r="E586">
        <v>-7.1942450000000002E-3</v>
      </c>
      <c r="F586">
        <v>2.126677E-3</v>
      </c>
      <c r="G586">
        <v>2.126677E-3</v>
      </c>
      <c r="H586">
        <v>3.0068899999999999E-3</v>
      </c>
      <c r="I586">
        <v>1.5225871E-2</v>
      </c>
      <c r="J586">
        <v>1</v>
      </c>
      <c r="K586">
        <v>0</v>
      </c>
      <c r="L586">
        <v>0</v>
      </c>
      <c r="M586">
        <v>5</v>
      </c>
      <c r="N586">
        <v>2.3283458119999998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W586">
        <v>0</v>
      </c>
      <c r="X586">
        <v>0</v>
      </c>
      <c r="Y586">
        <v>0</v>
      </c>
      <c r="Z586">
        <v>1.5225871E-2</v>
      </c>
      <c r="AA586">
        <v>0</v>
      </c>
      <c r="AB586" t="s">
        <v>33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f t="shared" si="9"/>
        <v>0</v>
      </c>
    </row>
    <row r="587" spans="1:34" x14ac:dyDescent="0.25">
      <c r="A587" s="1">
        <v>44356</v>
      </c>
      <c r="B587">
        <v>586</v>
      </c>
      <c r="C587">
        <v>-5.0933790000000003E-3</v>
      </c>
      <c r="D587">
        <v>967</v>
      </c>
      <c r="E587">
        <v>1.0351970000000001E-3</v>
      </c>
      <c r="F587">
        <v>-6.1285749999999998E-3</v>
      </c>
      <c r="G587">
        <v>6.1285749999999998E-3</v>
      </c>
      <c r="H587">
        <v>3.0197539999999999E-3</v>
      </c>
      <c r="I587">
        <v>1.2223545000000001E-2</v>
      </c>
      <c r="J587">
        <v>0</v>
      </c>
      <c r="K587">
        <v>0</v>
      </c>
      <c r="L587">
        <v>0</v>
      </c>
      <c r="M587">
        <v>5</v>
      </c>
      <c r="N587">
        <v>0.33538665000000001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W587">
        <v>0</v>
      </c>
      <c r="X587">
        <v>0</v>
      </c>
      <c r="Y587">
        <v>0</v>
      </c>
      <c r="Z587">
        <v>1.2223545000000001E-2</v>
      </c>
      <c r="AA587">
        <v>0</v>
      </c>
      <c r="AB587" t="s">
        <v>33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f t="shared" si="9"/>
        <v>0</v>
      </c>
    </row>
    <row r="588" spans="1:34" x14ac:dyDescent="0.25">
      <c r="A588" s="1">
        <v>44357</v>
      </c>
      <c r="B588">
        <v>599</v>
      </c>
      <c r="C588">
        <v>2.2184300000000001E-2</v>
      </c>
      <c r="D588">
        <v>998</v>
      </c>
      <c r="E588">
        <v>3.2057911000000001E-2</v>
      </c>
      <c r="F588">
        <v>-9.8736109999999992E-3</v>
      </c>
      <c r="G588">
        <v>9.8736109999999992E-3</v>
      </c>
      <c r="H588">
        <v>1.1899345E-2</v>
      </c>
      <c r="I588">
        <v>1.6210147000000001E-2</v>
      </c>
      <c r="J588">
        <v>0</v>
      </c>
      <c r="K588">
        <v>0</v>
      </c>
      <c r="L588">
        <v>0</v>
      </c>
      <c r="M588">
        <v>5</v>
      </c>
      <c r="N588">
        <v>2.4076491600000001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W588">
        <v>0</v>
      </c>
      <c r="X588">
        <v>0</v>
      </c>
      <c r="Y588">
        <v>0</v>
      </c>
      <c r="Z588">
        <v>1.6210147000000001E-2</v>
      </c>
      <c r="AA588">
        <v>0</v>
      </c>
      <c r="AB588" t="s">
        <v>33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f t="shared" si="9"/>
        <v>0</v>
      </c>
    </row>
    <row r="589" spans="1:34" x14ac:dyDescent="0.25">
      <c r="A589" s="1">
        <v>44358</v>
      </c>
      <c r="B589">
        <v>602</v>
      </c>
      <c r="C589">
        <v>5.0083469999999998E-3</v>
      </c>
      <c r="D589">
        <v>980</v>
      </c>
      <c r="E589">
        <v>-1.8036072E-2</v>
      </c>
      <c r="F589">
        <v>2.3044419E-2</v>
      </c>
      <c r="G589">
        <v>2.3044419E-2</v>
      </c>
      <c r="H589">
        <v>1.1890342E-2</v>
      </c>
      <c r="I589">
        <v>1.8839852000000001E-2</v>
      </c>
      <c r="J589">
        <v>1</v>
      </c>
      <c r="K589">
        <v>1</v>
      </c>
      <c r="L589">
        <v>1</v>
      </c>
      <c r="M589">
        <v>5</v>
      </c>
      <c r="N589">
        <v>5.8624225189999999</v>
      </c>
      <c r="O589">
        <v>-30</v>
      </c>
      <c r="P589">
        <v>5</v>
      </c>
      <c r="Q589">
        <v>35</v>
      </c>
      <c r="R589">
        <v>18060</v>
      </c>
      <c r="S589">
        <v>-4900</v>
      </c>
      <c r="T589">
        <v>0</v>
      </c>
      <c r="U589">
        <v>0</v>
      </c>
      <c r="V589" t="s">
        <v>34</v>
      </c>
      <c r="W589">
        <v>18060</v>
      </c>
      <c r="X589">
        <v>-4900</v>
      </c>
      <c r="Y589">
        <v>0</v>
      </c>
      <c r="Z589">
        <v>1.8839852000000001E-2</v>
      </c>
      <c r="AA589">
        <v>22960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22960</v>
      </c>
      <c r="AH589">
        <f t="shared" si="9"/>
        <v>0</v>
      </c>
    </row>
    <row r="590" spans="1:34" x14ac:dyDescent="0.25">
      <c r="A590" s="1">
        <v>44362</v>
      </c>
      <c r="B590">
        <v>609</v>
      </c>
      <c r="C590">
        <v>1.1627907E-2</v>
      </c>
      <c r="D590">
        <v>989</v>
      </c>
      <c r="E590">
        <v>9.1836729999999998E-3</v>
      </c>
      <c r="F590">
        <v>2.444234E-3</v>
      </c>
      <c r="G590">
        <v>2.444234E-3</v>
      </c>
      <c r="H590">
        <v>1.1616616E-2</v>
      </c>
      <c r="I590">
        <v>1.8921296000000001E-2</v>
      </c>
      <c r="J590">
        <v>1</v>
      </c>
      <c r="K590">
        <v>1</v>
      </c>
      <c r="L590">
        <v>0</v>
      </c>
      <c r="M590">
        <v>5</v>
      </c>
      <c r="N590">
        <v>1.282607821</v>
      </c>
      <c r="O590">
        <v>30</v>
      </c>
      <c r="P590">
        <v>-5</v>
      </c>
      <c r="Q590">
        <v>35</v>
      </c>
      <c r="R590">
        <v>-18270</v>
      </c>
      <c r="S590">
        <v>4945</v>
      </c>
      <c r="T590">
        <v>-210</v>
      </c>
      <c r="U590">
        <v>45</v>
      </c>
      <c r="V590" t="s">
        <v>37</v>
      </c>
      <c r="W590">
        <v>0</v>
      </c>
      <c r="X590">
        <v>0</v>
      </c>
      <c r="Y590">
        <v>0</v>
      </c>
      <c r="Z590">
        <v>1.8921296000000001E-2</v>
      </c>
      <c r="AA590">
        <v>23215</v>
      </c>
      <c r="AB590">
        <v>0.01</v>
      </c>
      <c r="AC590">
        <v>-165</v>
      </c>
      <c r="AD590">
        <v>-7.1074739999999999E-3</v>
      </c>
      <c r="AE590">
        <v>0</v>
      </c>
      <c r="AF590">
        <v>0</v>
      </c>
      <c r="AG590">
        <v>0</v>
      </c>
      <c r="AH590">
        <f t="shared" si="9"/>
        <v>0</v>
      </c>
    </row>
    <row r="591" spans="1:34" x14ac:dyDescent="0.25">
      <c r="A591" s="1">
        <v>44363</v>
      </c>
      <c r="B591">
        <v>605</v>
      </c>
      <c r="C591">
        <v>-6.5681439999999997E-3</v>
      </c>
      <c r="D591">
        <v>985</v>
      </c>
      <c r="E591">
        <v>-4.0444890000000001E-3</v>
      </c>
      <c r="F591">
        <v>-2.5236550000000001E-3</v>
      </c>
      <c r="G591">
        <v>2.5236550000000001E-3</v>
      </c>
      <c r="H591">
        <v>1.1979099999999999E-2</v>
      </c>
      <c r="I591">
        <v>1.8528367E-2</v>
      </c>
      <c r="J591">
        <v>0</v>
      </c>
      <c r="K591">
        <v>0</v>
      </c>
      <c r="L591">
        <v>-1</v>
      </c>
      <c r="M591">
        <v>5</v>
      </c>
      <c r="N591">
        <v>1.0025403399999999</v>
      </c>
      <c r="O591">
        <v>30</v>
      </c>
      <c r="P591">
        <v>-5</v>
      </c>
      <c r="Q591">
        <v>35</v>
      </c>
      <c r="R591">
        <v>-18150</v>
      </c>
      <c r="S591">
        <v>4925</v>
      </c>
      <c r="T591">
        <v>-90</v>
      </c>
      <c r="U591">
        <v>25</v>
      </c>
      <c r="V591" t="s">
        <v>35</v>
      </c>
      <c r="W591">
        <v>-18150</v>
      </c>
      <c r="X591">
        <v>4925</v>
      </c>
      <c r="Y591">
        <v>-65</v>
      </c>
      <c r="Z591">
        <v>1.8528367E-2</v>
      </c>
      <c r="AA591">
        <v>23075</v>
      </c>
      <c r="AB591">
        <v>0.01</v>
      </c>
      <c r="AC591">
        <v>-65</v>
      </c>
      <c r="AD591">
        <v>-2.8169010000000001E-3</v>
      </c>
      <c r="AE591">
        <v>0</v>
      </c>
      <c r="AF591">
        <v>-65</v>
      </c>
      <c r="AG591">
        <v>0</v>
      </c>
      <c r="AH591">
        <f t="shared" si="9"/>
        <v>-2.8169014084507044E-3</v>
      </c>
    </row>
    <row r="592" spans="1:34" x14ac:dyDescent="0.25">
      <c r="A592" s="1">
        <v>44364</v>
      </c>
      <c r="B592">
        <v>606</v>
      </c>
      <c r="C592">
        <v>1.6528929999999999E-3</v>
      </c>
      <c r="D592">
        <v>978</v>
      </c>
      <c r="E592">
        <v>-7.1065989999999999E-3</v>
      </c>
      <c r="F592">
        <v>8.7594920000000007E-3</v>
      </c>
      <c r="G592">
        <v>8.7594920000000007E-3</v>
      </c>
      <c r="H592">
        <v>1.0821202E-2</v>
      </c>
      <c r="I592">
        <v>1.9203835999999998E-2</v>
      </c>
      <c r="J592">
        <v>1</v>
      </c>
      <c r="K592">
        <v>0</v>
      </c>
      <c r="L592">
        <v>0</v>
      </c>
      <c r="M592">
        <v>5</v>
      </c>
      <c r="N592">
        <v>6.9387847410000001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W592">
        <v>0</v>
      </c>
      <c r="X592">
        <v>0</v>
      </c>
      <c r="Y592">
        <v>0</v>
      </c>
      <c r="Z592">
        <v>1.9203835999999998E-2</v>
      </c>
      <c r="AA592">
        <v>0</v>
      </c>
      <c r="AB592" t="s">
        <v>33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f t="shared" si="9"/>
        <v>0</v>
      </c>
    </row>
    <row r="593" spans="1:34" x14ac:dyDescent="0.25">
      <c r="A593" s="1">
        <v>44365</v>
      </c>
      <c r="B593">
        <v>603</v>
      </c>
      <c r="C593">
        <v>-4.9504950000000001E-3</v>
      </c>
      <c r="D593">
        <v>965</v>
      </c>
      <c r="E593">
        <v>-1.3292434000000001E-2</v>
      </c>
      <c r="F593">
        <v>8.3419380000000001E-3</v>
      </c>
      <c r="G593">
        <v>8.3419380000000001E-3</v>
      </c>
      <c r="H593">
        <v>7.441502E-3</v>
      </c>
      <c r="I593">
        <v>1.0385886E-2</v>
      </c>
      <c r="J593">
        <v>1</v>
      </c>
      <c r="K593">
        <v>0</v>
      </c>
      <c r="L593">
        <v>0</v>
      </c>
      <c r="M593">
        <v>5</v>
      </c>
      <c r="N593">
        <v>4.2970050899999999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W593">
        <v>0</v>
      </c>
      <c r="X593">
        <v>0</v>
      </c>
      <c r="Y593">
        <v>0</v>
      </c>
      <c r="Z593">
        <v>1.0385886E-2</v>
      </c>
      <c r="AA593">
        <v>0</v>
      </c>
      <c r="AB593" t="s">
        <v>33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f t="shared" si="9"/>
        <v>0</v>
      </c>
    </row>
    <row r="594" spans="1:34" x14ac:dyDescent="0.25">
      <c r="A594" s="1">
        <v>44368</v>
      </c>
      <c r="B594">
        <v>583</v>
      </c>
      <c r="C594">
        <v>-3.3167495999999998E-2</v>
      </c>
      <c r="D594">
        <v>918</v>
      </c>
      <c r="E594">
        <v>-4.8704663000000002E-2</v>
      </c>
      <c r="F594">
        <v>1.5537166999999999E-2</v>
      </c>
      <c r="G594">
        <v>1.5537166999999999E-2</v>
      </c>
      <c r="H594">
        <v>1.6646411E-2</v>
      </c>
      <c r="I594">
        <v>2.1689529999999999E-2</v>
      </c>
      <c r="J594">
        <v>1</v>
      </c>
      <c r="K594">
        <v>0</v>
      </c>
      <c r="L594">
        <v>0</v>
      </c>
      <c r="M594">
        <v>5</v>
      </c>
      <c r="N594">
        <v>2.3122350890000001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W594">
        <v>0</v>
      </c>
      <c r="X594">
        <v>0</v>
      </c>
      <c r="Y594">
        <v>0</v>
      </c>
      <c r="Z594">
        <v>2.1689529999999999E-2</v>
      </c>
      <c r="AA594">
        <v>0</v>
      </c>
      <c r="AB594" t="s">
        <v>33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f t="shared" si="9"/>
        <v>0</v>
      </c>
    </row>
    <row r="595" spans="1:34" x14ac:dyDescent="0.25">
      <c r="A595" s="1">
        <v>44369</v>
      </c>
      <c r="B595">
        <v>578</v>
      </c>
      <c r="C595">
        <v>-8.5763290000000006E-3</v>
      </c>
      <c r="D595">
        <v>903</v>
      </c>
      <c r="E595">
        <v>-1.6339869E-2</v>
      </c>
      <c r="F595">
        <v>7.7635400000000002E-3</v>
      </c>
      <c r="G595">
        <v>7.7635400000000002E-3</v>
      </c>
      <c r="H595">
        <v>1.3335166000000001E-2</v>
      </c>
      <c r="I595">
        <v>1.7895973999999999E-2</v>
      </c>
      <c r="J595">
        <v>1</v>
      </c>
      <c r="K595">
        <v>0</v>
      </c>
      <c r="L595">
        <v>0</v>
      </c>
      <c r="M595">
        <v>5</v>
      </c>
      <c r="N595">
        <v>2.976507904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W595">
        <v>0</v>
      </c>
      <c r="X595">
        <v>0</v>
      </c>
      <c r="Y595">
        <v>0</v>
      </c>
      <c r="Z595">
        <v>1.7895973999999999E-2</v>
      </c>
      <c r="AA595">
        <v>0</v>
      </c>
      <c r="AB595" t="s">
        <v>33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f t="shared" si="9"/>
        <v>0</v>
      </c>
    </row>
    <row r="596" spans="1:34" x14ac:dyDescent="0.25">
      <c r="A596" s="1">
        <v>44370</v>
      </c>
      <c r="B596">
        <v>595</v>
      </c>
      <c r="C596">
        <v>2.9411764999999999E-2</v>
      </c>
      <c r="D596">
        <v>941</v>
      </c>
      <c r="E596">
        <v>4.2081949E-2</v>
      </c>
      <c r="F596">
        <v>-1.2670183999999999E-2</v>
      </c>
      <c r="G596">
        <v>1.2670183999999999E-2</v>
      </c>
      <c r="H596">
        <v>2.2455902999999999E-2</v>
      </c>
      <c r="I596">
        <v>3.2638829000000001E-2</v>
      </c>
      <c r="J596">
        <v>0</v>
      </c>
      <c r="K596">
        <v>0</v>
      </c>
      <c r="L596">
        <v>0</v>
      </c>
      <c r="M596">
        <v>5</v>
      </c>
      <c r="N596">
        <v>2.2628065180000001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W596">
        <v>0</v>
      </c>
      <c r="X596">
        <v>0</v>
      </c>
      <c r="Y596">
        <v>0</v>
      </c>
      <c r="Z596">
        <v>3.2638829000000001E-2</v>
      </c>
      <c r="AA596">
        <v>0</v>
      </c>
      <c r="AB596" t="s">
        <v>33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f t="shared" si="9"/>
        <v>0</v>
      </c>
    </row>
    <row r="597" spans="1:34" x14ac:dyDescent="0.25">
      <c r="A597" s="1">
        <v>44371</v>
      </c>
      <c r="B597">
        <v>590</v>
      </c>
      <c r="C597">
        <v>-8.4033609999999998E-3</v>
      </c>
      <c r="D597">
        <v>929</v>
      </c>
      <c r="E597">
        <v>-1.2752391E-2</v>
      </c>
      <c r="F597">
        <v>4.3490300000000003E-3</v>
      </c>
      <c r="G597">
        <v>4.3490300000000003E-3</v>
      </c>
      <c r="H597">
        <v>2.2371068000000001E-2</v>
      </c>
      <c r="I597">
        <v>3.2668766000000002E-2</v>
      </c>
      <c r="J597">
        <v>1</v>
      </c>
      <c r="K597">
        <v>0</v>
      </c>
      <c r="L597">
        <v>0</v>
      </c>
      <c r="M597">
        <v>5</v>
      </c>
      <c r="N597">
        <v>2.3894738740000001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W597">
        <v>0</v>
      </c>
      <c r="X597">
        <v>0</v>
      </c>
      <c r="Y597">
        <v>0</v>
      </c>
      <c r="Z597">
        <v>3.2668766000000002E-2</v>
      </c>
      <c r="AA597">
        <v>0</v>
      </c>
      <c r="AB597" t="s">
        <v>33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f t="shared" si="9"/>
        <v>0</v>
      </c>
    </row>
    <row r="598" spans="1:34" x14ac:dyDescent="0.25">
      <c r="A598" s="1">
        <v>44372</v>
      </c>
      <c r="B598">
        <v>591</v>
      </c>
      <c r="C598">
        <v>1.694915E-3</v>
      </c>
      <c r="D598">
        <v>927</v>
      </c>
      <c r="E598">
        <v>-2.1528530000000001E-3</v>
      </c>
      <c r="F598">
        <v>3.8477680000000001E-3</v>
      </c>
      <c r="G598">
        <v>3.8477680000000001E-3</v>
      </c>
      <c r="H598">
        <v>2.2581348000000001E-2</v>
      </c>
      <c r="I598">
        <v>3.2750914999999999E-2</v>
      </c>
      <c r="J598">
        <v>1</v>
      </c>
      <c r="K598">
        <v>0</v>
      </c>
      <c r="L598">
        <v>0</v>
      </c>
      <c r="M598">
        <v>5</v>
      </c>
      <c r="N598">
        <v>1.9923174859999999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W598">
        <v>0</v>
      </c>
      <c r="X598">
        <v>0</v>
      </c>
      <c r="Y598">
        <v>0</v>
      </c>
      <c r="Z598">
        <v>3.2750914999999999E-2</v>
      </c>
      <c r="AA598">
        <v>0</v>
      </c>
      <c r="AB598" t="s">
        <v>33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f t="shared" si="9"/>
        <v>0</v>
      </c>
    </row>
    <row r="599" spans="1:34" x14ac:dyDescent="0.25">
      <c r="A599" s="1">
        <v>44375</v>
      </c>
      <c r="B599">
        <v>590</v>
      </c>
      <c r="C599">
        <v>-1.6920469999999999E-3</v>
      </c>
      <c r="D599">
        <v>935</v>
      </c>
      <c r="E599">
        <v>8.6299889999999994E-3</v>
      </c>
      <c r="F599">
        <v>-1.0322036999999999E-2</v>
      </c>
      <c r="G599">
        <v>1.0322036999999999E-2</v>
      </c>
      <c r="H599">
        <v>1.5684641999999999E-2</v>
      </c>
      <c r="I599">
        <v>2.3472459000000001E-2</v>
      </c>
      <c r="J599">
        <v>0</v>
      </c>
      <c r="K599">
        <v>0</v>
      </c>
      <c r="L599">
        <v>0</v>
      </c>
      <c r="M599">
        <v>5</v>
      </c>
      <c r="N599">
        <v>8.0827162529999992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W599">
        <v>0</v>
      </c>
      <c r="X599">
        <v>0</v>
      </c>
      <c r="Y599">
        <v>0</v>
      </c>
      <c r="Z599">
        <v>2.3472459000000001E-2</v>
      </c>
      <c r="AA599">
        <v>0</v>
      </c>
      <c r="AB599" t="s">
        <v>33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f t="shared" si="9"/>
        <v>0</v>
      </c>
    </row>
    <row r="600" spans="1:34" x14ac:dyDescent="0.25">
      <c r="A600" s="1">
        <v>44376</v>
      </c>
      <c r="B600">
        <v>595</v>
      </c>
      <c r="C600">
        <v>8.4745759999999993E-3</v>
      </c>
      <c r="D600">
        <v>935</v>
      </c>
      <c r="E600">
        <v>0</v>
      </c>
      <c r="F600">
        <v>8.4745759999999993E-3</v>
      </c>
      <c r="G600">
        <v>8.4745759999999993E-3</v>
      </c>
      <c r="H600">
        <v>1.4485679E-2</v>
      </c>
      <c r="I600">
        <v>2.0953528999999999E-2</v>
      </c>
      <c r="J600">
        <v>1</v>
      </c>
      <c r="K600">
        <v>0</v>
      </c>
      <c r="L600">
        <v>0</v>
      </c>
      <c r="M600">
        <v>5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W600">
        <v>0</v>
      </c>
      <c r="X600">
        <v>0</v>
      </c>
      <c r="Y600">
        <v>0</v>
      </c>
      <c r="Z600">
        <v>2.0953528999999999E-2</v>
      </c>
      <c r="AA600">
        <v>0</v>
      </c>
      <c r="AB600" t="s">
        <v>33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f t="shared" si="9"/>
        <v>0</v>
      </c>
    </row>
    <row r="601" spans="1:34" x14ac:dyDescent="0.25">
      <c r="A601" s="1">
        <v>44377</v>
      </c>
      <c r="B601">
        <v>595</v>
      </c>
      <c r="C601">
        <v>0</v>
      </c>
      <c r="D601">
        <v>962</v>
      </c>
      <c r="E601">
        <v>2.8877005000000001E-2</v>
      </c>
      <c r="F601">
        <v>-2.8877005000000001E-2</v>
      </c>
      <c r="G601">
        <v>2.8877005000000001E-2</v>
      </c>
      <c r="H601">
        <v>6.0862470000000004E-3</v>
      </c>
      <c r="I601">
        <v>1.5600068999999999E-2</v>
      </c>
      <c r="J601">
        <v>0</v>
      </c>
      <c r="K601">
        <v>0</v>
      </c>
      <c r="L601">
        <v>0</v>
      </c>
      <c r="M601">
        <v>5</v>
      </c>
      <c r="N601" t="s">
        <v>36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W601">
        <v>0</v>
      </c>
      <c r="X601">
        <v>0</v>
      </c>
      <c r="Y601">
        <v>0</v>
      </c>
      <c r="Z601">
        <v>1.5600068999999999E-2</v>
      </c>
      <c r="AA601">
        <v>0</v>
      </c>
      <c r="AB601" t="s">
        <v>33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f t="shared" si="9"/>
        <v>0</v>
      </c>
    </row>
    <row r="602" spans="1:34" x14ac:dyDescent="0.25">
      <c r="A602" s="1">
        <v>44378</v>
      </c>
      <c r="B602">
        <v>593</v>
      </c>
      <c r="C602">
        <v>-3.361345E-3</v>
      </c>
      <c r="D602">
        <v>955</v>
      </c>
      <c r="E602">
        <v>-7.2765069999999998E-3</v>
      </c>
      <c r="F602">
        <v>3.9151630000000001E-3</v>
      </c>
      <c r="G602">
        <v>3.9151630000000001E-3</v>
      </c>
      <c r="H602">
        <v>4.5721420000000004E-3</v>
      </c>
      <c r="I602">
        <v>1.4215043E-2</v>
      </c>
      <c r="J602">
        <v>1</v>
      </c>
      <c r="K602">
        <v>0</v>
      </c>
      <c r="L602">
        <v>0</v>
      </c>
      <c r="M602">
        <v>5</v>
      </c>
      <c r="N602">
        <v>3.4862507140000001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W602">
        <v>0</v>
      </c>
      <c r="X602">
        <v>0</v>
      </c>
      <c r="Y602">
        <v>0</v>
      </c>
      <c r="Z602">
        <v>1.4215043E-2</v>
      </c>
      <c r="AA602">
        <v>0</v>
      </c>
      <c r="AB602" t="s">
        <v>33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f t="shared" si="9"/>
        <v>0</v>
      </c>
    </row>
    <row r="603" spans="1:34" x14ac:dyDescent="0.25">
      <c r="A603" s="1">
        <v>44379</v>
      </c>
      <c r="B603">
        <v>588</v>
      </c>
      <c r="C603">
        <v>-8.4317030000000005E-3</v>
      </c>
      <c r="D603">
        <v>957</v>
      </c>
      <c r="E603">
        <v>2.0942410000000002E-3</v>
      </c>
      <c r="F603">
        <v>-1.0525944000000001E-2</v>
      </c>
      <c r="G603">
        <v>1.0525944000000001E-2</v>
      </c>
      <c r="H603">
        <v>6.1654819999999999E-3</v>
      </c>
      <c r="I603">
        <v>1.3754216999999999E-2</v>
      </c>
      <c r="J603">
        <v>0</v>
      </c>
      <c r="K603">
        <v>0</v>
      </c>
      <c r="L603">
        <v>0</v>
      </c>
      <c r="M603">
        <v>5</v>
      </c>
      <c r="N603">
        <v>0.40424618000000001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W603">
        <v>0</v>
      </c>
      <c r="X603">
        <v>0</v>
      </c>
      <c r="Y603">
        <v>0</v>
      </c>
      <c r="Z603">
        <v>1.3754216999999999E-2</v>
      </c>
      <c r="AA603">
        <v>0</v>
      </c>
      <c r="AB603" t="s">
        <v>33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f t="shared" si="9"/>
        <v>0</v>
      </c>
    </row>
    <row r="604" spans="1:34" x14ac:dyDescent="0.25">
      <c r="A604" s="1">
        <v>44382</v>
      </c>
      <c r="B604">
        <v>591</v>
      </c>
      <c r="C604">
        <v>5.1020409999999999E-3</v>
      </c>
      <c r="D604">
        <v>957</v>
      </c>
      <c r="E604">
        <v>0</v>
      </c>
      <c r="F604">
        <v>5.1020409999999999E-3</v>
      </c>
      <c r="G604">
        <v>5.1020409999999999E-3</v>
      </c>
      <c r="H604">
        <v>6.7008450000000004E-3</v>
      </c>
      <c r="I604">
        <v>1.3954629E-2</v>
      </c>
      <c r="J604">
        <v>1</v>
      </c>
      <c r="K604">
        <v>0</v>
      </c>
      <c r="L604">
        <v>0</v>
      </c>
      <c r="M604">
        <v>5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W604">
        <v>0</v>
      </c>
      <c r="X604">
        <v>0</v>
      </c>
      <c r="Y604">
        <v>0</v>
      </c>
      <c r="Z604">
        <v>1.3954629E-2</v>
      </c>
      <c r="AA604">
        <v>0</v>
      </c>
      <c r="AB604" t="s">
        <v>33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f t="shared" si="9"/>
        <v>0</v>
      </c>
    </row>
    <row r="605" spans="1:34" x14ac:dyDescent="0.25">
      <c r="A605" s="1">
        <v>44383</v>
      </c>
      <c r="B605">
        <v>592</v>
      </c>
      <c r="C605">
        <v>1.6920469999999999E-3</v>
      </c>
      <c r="D605">
        <v>922</v>
      </c>
      <c r="E605">
        <v>-3.6572622999999999E-2</v>
      </c>
      <c r="F605">
        <v>3.8264670000000001E-2</v>
      </c>
      <c r="G605">
        <v>3.8264670000000001E-2</v>
      </c>
      <c r="H605">
        <v>5.1548080000000003E-3</v>
      </c>
      <c r="I605">
        <v>2.3428634E-2</v>
      </c>
      <c r="J605">
        <v>1</v>
      </c>
      <c r="K605">
        <v>1</v>
      </c>
      <c r="L605">
        <v>1</v>
      </c>
      <c r="M605">
        <v>5</v>
      </c>
      <c r="N605">
        <v>33.662998809999998</v>
      </c>
      <c r="O605">
        <v>-169</v>
      </c>
      <c r="P605">
        <v>5</v>
      </c>
      <c r="Q605">
        <v>174</v>
      </c>
      <c r="R605">
        <v>100048</v>
      </c>
      <c r="S605">
        <v>-4610</v>
      </c>
      <c r="T605">
        <v>0</v>
      </c>
      <c r="U605">
        <v>0</v>
      </c>
      <c r="V605" t="s">
        <v>34</v>
      </c>
      <c r="W605">
        <v>100048</v>
      </c>
      <c r="X605">
        <v>-4610</v>
      </c>
      <c r="Y605">
        <v>0</v>
      </c>
      <c r="Z605">
        <v>2.3428634E-2</v>
      </c>
      <c r="AA605">
        <v>104658</v>
      </c>
      <c r="AB605">
        <v>0.02</v>
      </c>
      <c r="AC605">
        <v>0</v>
      </c>
      <c r="AD605">
        <v>0</v>
      </c>
      <c r="AE605">
        <v>0</v>
      </c>
      <c r="AF605">
        <v>0</v>
      </c>
      <c r="AG605">
        <v>104658</v>
      </c>
      <c r="AH605">
        <f t="shared" si="9"/>
        <v>0</v>
      </c>
    </row>
    <row r="606" spans="1:34" x14ac:dyDescent="0.25">
      <c r="A606" s="1">
        <v>44384</v>
      </c>
      <c r="B606">
        <v>594</v>
      </c>
      <c r="C606">
        <v>3.378378E-3</v>
      </c>
      <c r="D606">
        <v>917</v>
      </c>
      <c r="E606">
        <v>-5.4229930000000001E-3</v>
      </c>
      <c r="F606">
        <v>8.801372E-3</v>
      </c>
      <c r="G606">
        <v>8.801372E-3</v>
      </c>
      <c r="H606">
        <v>5.5266239999999999E-3</v>
      </c>
      <c r="I606">
        <v>1.5645673999999998E-2</v>
      </c>
      <c r="J606">
        <v>1</v>
      </c>
      <c r="K606">
        <v>1</v>
      </c>
      <c r="L606">
        <v>0</v>
      </c>
      <c r="M606">
        <v>5</v>
      </c>
      <c r="N606">
        <v>2.4780706559999999</v>
      </c>
      <c r="O606">
        <v>169</v>
      </c>
      <c r="P606">
        <v>-5</v>
      </c>
      <c r="Q606">
        <v>174</v>
      </c>
      <c r="R606">
        <v>-100386</v>
      </c>
      <c r="S606">
        <v>4585</v>
      </c>
      <c r="T606">
        <v>-338</v>
      </c>
      <c r="U606">
        <v>-25</v>
      </c>
      <c r="V606" t="s">
        <v>37</v>
      </c>
      <c r="W606">
        <v>0</v>
      </c>
      <c r="X606">
        <v>0</v>
      </c>
      <c r="Y606">
        <v>0</v>
      </c>
      <c r="Z606">
        <v>1.5645673999999998E-2</v>
      </c>
      <c r="AA606">
        <v>104971</v>
      </c>
      <c r="AB606">
        <v>0.02</v>
      </c>
      <c r="AC606">
        <v>-363</v>
      </c>
      <c r="AD606">
        <v>-3.4580980000000002E-3</v>
      </c>
      <c r="AE606">
        <v>0</v>
      </c>
      <c r="AF606">
        <v>0</v>
      </c>
      <c r="AG606">
        <v>0</v>
      </c>
      <c r="AH606">
        <f t="shared" si="9"/>
        <v>0</v>
      </c>
    </row>
    <row r="607" spans="1:34" x14ac:dyDescent="0.25">
      <c r="A607" s="1">
        <v>44385</v>
      </c>
      <c r="B607">
        <v>588</v>
      </c>
      <c r="C607">
        <v>-1.0101010000000001E-2</v>
      </c>
      <c r="D607">
        <v>920</v>
      </c>
      <c r="E607">
        <v>3.2715380000000001E-3</v>
      </c>
      <c r="F607">
        <v>-1.3372548E-2</v>
      </c>
      <c r="G607">
        <v>1.3372548E-2</v>
      </c>
      <c r="H607">
        <v>7.0613840000000004E-3</v>
      </c>
      <c r="I607">
        <v>1.6686111999999999E-2</v>
      </c>
      <c r="J607">
        <v>0</v>
      </c>
      <c r="K607">
        <v>0</v>
      </c>
      <c r="L607">
        <v>-1</v>
      </c>
      <c r="M607">
        <v>5</v>
      </c>
      <c r="N607">
        <v>0.50675450099999997</v>
      </c>
      <c r="O607">
        <v>169</v>
      </c>
      <c r="P607">
        <v>-5</v>
      </c>
      <c r="Q607">
        <v>174</v>
      </c>
      <c r="R607">
        <v>-99372</v>
      </c>
      <c r="S607">
        <v>4600</v>
      </c>
      <c r="T607">
        <v>676</v>
      </c>
      <c r="U607">
        <v>-10</v>
      </c>
      <c r="V607" t="s">
        <v>35</v>
      </c>
      <c r="W607">
        <v>-99372</v>
      </c>
      <c r="X607">
        <v>4600</v>
      </c>
      <c r="Y607">
        <v>666</v>
      </c>
      <c r="Z607">
        <v>1.6686111999999999E-2</v>
      </c>
      <c r="AA607">
        <v>103972</v>
      </c>
      <c r="AB607">
        <v>0.02</v>
      </c>
      <c r="AC607">
        <v>666</v>
      </c>
      <c r="AD607">
        <v>6.4055709999999997E-3</v>
      </c>
      <c r="AE607">
        <v>0</v>
      </c>
      <c r="AF607">
        <v>666</v>
      </c>
      <c r="AG607">
        <v>0</v>
      </c>
      <c r="AH607">
        <f t="shared" si="9"/>
        <v>6.40557073058131E-3</v>
      </c>
    </row>
    <row r="608" spans="1:34" x14ac:dyDescent="0.25">
      <c r="A608" s="1">
        <v>44386</v>
      </c>
      <c r="B608">
        <v>584</v>
      </c>
      <c r="C608">
        <v>-6.8027210000000003E-3</v>
      </c>
      <c r="D608">
        <v>919</v>
      </c>
      <c r="E608">
        <v>-1.0869569999999999E-3</v>
      </c>
      <c r="F608">
        <v>-5.7157650000000003E-3</v>
      </c>
      <c r="G608">
        <v>5.7157650000000003E-3</v>
      </c>
      <c r="H608">
        <v>6.6998639999999998E-3</v>
      </c>
      <c r="I608">
        <v>1.6293144999999998E-2</v>
      </c>
      <c r="J608">
        <v>0</v>
      </c>
      <c r="K608">
        <v>0</v>
      </c>
      <c r="L608">
        <v>0</v>
      </c>
      <c r="M608">
        <v>5</v>
      </c>
      <c r="N608">
        <v>0.251438728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W608">
        <v>0</v>
      </c>
      <c r="X608">
        <v>0</v>
      </c>
      <c r="Y608">
        <v>0</v>
      </c>
      <c r="Z608">
        <v>1.6293144999999998E-2</v>
      </c>
      <c r="AA608">
        <v>0</v>
      </c>
      <c r="AB608" t="s">
        <v>33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f t="shared" si="9"/>
        <v>0</v>
      </c>
    </row>
    <row r="609" spans="1:34" x14ac:dyDescent="0.25">
      <c r="A609" s="1">
        <v>44389</v>
      </c>
      <c r="B609">
        <v>593</v>
      </c>
      <c r="C609">
        <v>1.5410959E-2</v>
      </c>
      <c r="D609">
        <v>935</v>
      </c>
      <c r="E609">
        <v>1.7410228999999999E-2</v>
      </c>
      <c r="F609">
        <v>-1.99927E-3</v>
      </c>
      <c r="G609">
        <v>1.99927E-3</v>
      </c>
      <c r="H609">
        <v>9.9689719999999996E-3</v>
      </c>
      <c r="I609">
        <v>1.9884710999999999E-2</v>
      </c>
      <c r="J609">
        <v>0</v>
      </c>
      <c r="K609">
        <v>0</v>
      </c>
      <c r="L609">
        <v>0</v>
      </c>
      <c r="M609">
        <v>5</v>
      </c>
      <c r="N609">
        <v>1.781278092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W609">
        <v>0</v>
      </c>
      <c r="X609">
        <v>0</v>
      </c>
      <c r="Y609">
        <v>0</v>
      </c>
      <c r="Z609">
        <v>1.9884710999999999E-2</v>
      </c>
      <c r="AA609">
        <v>0</v>
      </c>
      <c r="AB609" t="s">
        <v>33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f t="shared" si="9"/>
        <v>0</v>
      </c>
    </row>
    <row r="610" spans="1:34" x14ac:dyDescent="0.25">
      <c r="A610" s="1">
        <v>44390</v>
      </c>
      <c r="B610">
        <v>607</v>
      </c>
      <c r="C610">
        <v>2.3608769000000002E-2</v>
      </c>
      <c r="D610">
        <v>926</v>
      </c>
      <c r="E610">
        <v>-9.6256680000000004E-3</v>
      </c>
      <c r="F610">
        <v>3.3234436999999999E-2</v>
      </c>
      <c r="G610">
        <v>3.3234436999999999E-2</v>
      </c>
      <c r="H610">
        <v>1.4357923E-2</v>
      </c>
      <c r="I610">
        <v>1.0403477E-2</v>
      </c>
      <c r="J610">
        <v>1</v>
      </c>
      <c r="K610">
        <v>1</v>
      </c>
      <c r="L610">
        <v>1</v>
      </c>
      <c r="M610">
        <v>5</v>
      </c>
      <c r="N610">
        <v>0.62198491499999997</v>
      </c>
      <c r="O610">
        <v>-4</v>
      </c>
      <c r="P610">
        <v>5</v>
      </c>
      <c r="Q610">
        <v>9</v>
      </c>
      <c r="R610">
        <v>2428</v>
      </c>
      <c r="S610">
        <v>-4630</v>
      </c>
      <c r="T610">
        <v>0</v>
      </c>
      <c r="U610">
        <v>0</v>
      </c>
      <c r="V610" t="s">
        <v>34</v>
      </c>
      <c r="W610">
        <v>2428</v>
      </c>
      <c r="X610">
        <v>-4630</v>
      </c>
      <c r="Y610">
        <v>0</v>
      </c>
      <c r="Z610">
        <v>1.4357923E-2</v>
      </c>
      <c r="AA610">
        <v>7058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7058</v>
      </c>
      <c r="AH610">
        <f t="shared" si="9"/>
        <v>0</v>
      </c>
    </row>
    <row r="611" spans="1:34" x14ac:dyDescent="0.25">
      <c r="A611" s="1">
        <v>44391</v>
      </c>
      <c r="B611">
        <v>613</v>
      </c>
      <c r="C611">
        <v>9.8846790000000004E-3</v>
      </c>
      <c r="D611">
        <v>930</v>
      </c>
      <c r="E611">
        <v>4.319654E-3</v>
      </c>
      <c r="F611">
        <v>5.565024E-3</v>
      </c>
      <c r="G611">
        <v>5.565024E-3</v>
      </c>
      <c r="H611">
        <v>1.44575E-2</v>
      </c>
      <c r="I611">
        <v>9.8168149999999996E-3</v>
      </c>
      <c r="J611">
        <v>1</v>
      </c>
      <c r="K611">
        <v>1</v>
      </c>
      <c r="L611">
        <v>0</v>
      </c>
      <c r="M611">
        <v>5</v>
      </c>
      <c r="N611">
        <v>0.66299296399999996</v>
      </c>
      <c r="O611">
        <v>4</v>
      </c>
      <c r="P611">
        <v>-5</v>
      </c>
      <c r="Q611">
        <v>9</v>
      </c>
      <c r="R611">
        <v>-2452</v>
      </c>
      <c r="S611">
        <v>4650</v>
      </c>
      <c r="T611">
        <v>-24</v>
      </c>
      <c r="U611">
        <v>20</v>
      </c>
      <c r="V611" t="s">
        <v>37</v>
      </c>
      <c r="W611">
        <v>0</v>
      </c>
      <c r="X611">
        <v>0</v>
      </c>
      <c r="Y611">
        <v>0</v>
      </c>
      <c r="Z611">
        <v>1.44575E-2</v>
      </c>
      <c r="AA611">
        <v>7102</v>
      </c>
      <c r="AB611">
        <v>0</v>
      </c>
      <c r="AC611">
        <v>-4</v>
      </c>
      <c r="AD611">
        <v>-5.6322200000000005E-4</v>
      </c>
      <c r="AE611">
        <v>0</v>
      </c>
      <c r="AF611">
        <v>0</v>
      </c>
      <c r="AG611">
        <v>0</v>
      </c>
      <c r="AH611">
        <f t="shared" si="9"/>
        <v>0</v>
      </c>
    </row>
    <row r="612" spans="1:34" x14ac:dyDescent="0.25">
      <c r="A612" s="1">
        <v>44392</v>
      </c>
      <c r="B612">
        <v>614</v>
      </c>
      <c r="C612">
        <v>1.631321E-3</v>
      </c>
      <c r="D612">
        <v>951</v>
      </c>
      <c r="E612">
        <v>2.2580645E-2</v>
      </c>
      <c r="F612">
        <v>-2.0949323999999998E-2</v>
      </c>
      <c r="G612">
        <v>2.0949323999999998E-2</v>
      </c>
      <c r="H612">
        <v>1.1821607E-2</v>
      </c>
      <c r="I612">
        <v>1.3226224999999999E-2</v>
      </c>
      <c r="J612">
        <v>0</v>
      </c>
      <c r="K612">
        <v>0</v>
      </c>
      <c r="L612">
        <v>-1</v>
      </c>
      <c r="M612">
        <v>5</v>
      </c>
      <c r="N612">
        <v>21.43921929</v>
      </c>
      <c r="O612">
        <v>4</v>
      </c>
      <c r="P612">
        <v>-5</v>
      </c>
      <c r="Q612">
        <v>9</v>
      </c>
      <c r="R612">
        <v>-2456</v>
      </c>
      <c r="S612">
        <v>4755</v>
      </c>
      <c r="T612">
        <v>-28</v>
      </c>
      <c r="U612">
        <v>125</v>
      </c>
      <c r="V612" t="s">
        <v>35</v>
      </c>
      <c r="W612">
        <v>-2456</v>
      </c>
      <c r="X612">
        <v>4755</v>
      </c>
      <c r="Y612">
        <v>97</v>
      </c>
      <c r="Z612">
        <v>1.3226224999999999E-2</v>
      </c>
      <c r="AA612">
        <v>7211</v>
      </c>
      <c r="AB612">
        <v>0</v>
      </c>
      <c r="AC612">
        <v>97</v>
      </c>
      <c r="AD612">
        <v>1.3451671E-2</v>
      </c>
      <c r="AE612">
        <v>0</v>
      </c>
      <c r="AF612">
        <v>97</v>
      </c>
      <c r="AG612">
        <v>0</v>
      </c>
      <c r="AH612">
        <f t="shared" si="9"/>
        <v>1.3451671058105671E-2</v>
      </c>
    </row>
    <row r="613" spans="1:34" x14ac:dyDescent="0.25">
      <c r="A613" s="1">
        <v>44393</v>
      </c>
      <c r="B613">
        <v>589</v>
      </c>
      <c r="C613">
        <v>-4.0716611999999999E-2</v>
      </c>
      <c r="D613">
        <v>957</v>
      </c>
      <c r="E613">
        <v>6.3091479999999997E-3</v>
      </c>
      <c r="F613">
        <v>-4.7025760999999999E-2</v>
      </c>
      <c r="G613">
        <v>4.7025760999999999E-2</v>
      </c>
      <c r="H613">
        <v>2.5168428999999999E-2</v>
      </c>
      <c r="I613">
        <v>1.2530144999999999E-2</v>
      </c>
      <c r="J613">
        <v>0</v>
      </c>
      <c r="K613">
        <v>1</v>
      </c>
      <c r="L613">
        <v>1</v>
      </c>
      <c r="M613">
        <v>5</v>
      </c>
      <c r="N613">
        <v>0.25176522299999998</v>
      </c>
      <c r="O613">
        <v>2</v>
      </c>
      <c r="P613">
        <v>-5</v>
      </c>
      <c r="Q613">
        <v>7</v>
      </c>
      <c r="R613">
        <v>-1178</v>
      </c>
      <c r="S613">
        <v>4785</v>
      </c>
      <c r="T613">
        <v>0</v>
      </c>
      <c r="U613">
        <v>0</v>
      </c>
      <c r="V613" t="s">
        <v>34</v>
      </c>
      <c r="W613">
        <v>-1178</v>
      </c>
      <c r="X613">
        <v>4785</v>
      </c>
      <c r="Y613">
        <v>0</v>
      </c>
      <c r="Z613">
        <v>2.5168428999999999E-2</v>
      </c>
      <c r="AA613">
        <v>5963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5963</v>
      </c>
      <c r="AH613">
        <f t="shared" si="9"/>
        <v>0</v>
      </c>
    </row>
    <row r="614" spans="1:34" x14ac:dyDescent="0.25">
      <c r="A614" s="1">
        <v>44396</v>
      </c>
      <c r="B614">
        <v>582</v>
      </c>
      <c r="C614">
        <v>-1.1884550000000001E-2</v>
      </c>
      <c r="D614">
        <v>919</v>
      </c>
      <c r="E614">
        <v>-3.9707419000000001E-2</v>
      </c>
      <c r="F614">
        <v>2.7822869E-2</v>
      </c>
      <c r="G614">
        <v>2.7822869E-2</v>
      </c>
      <c r="H614">
        <v>2.4473160000000001E-2</v>
      </c>
      <c r="I614">
        <v>2.3375673999999999E-2</v>
      </c>
      <c r="J614">
        <v>1</v>
      </c>
      <c r="K614">
        <v>0</v>
      </c>
      <c r="L614">
        <v>-1</v>
      </c>
      <c r="M614">
        <v>5</v>
      </c>
      <c r="N614">
        <v>5.2757163839999999</v>
      </c>
      <c r="O614">
        <v>-2</v>
      </c>
      <c r="P614">
        <v>5</v>
      </c>
      <c r="Q614">
        <v>7</v>
      </c>
      <c r="R614">
        <v>1164</v>
      </c>
      <c r="S614">
        <v>-4595</v>
      </c>
      <c r="T614">
        <v>-14</v>
      </c>
      <c r="U614">
        <v>190</v>
      </c>
      <c r="V614" t="s">
        <v>35</v>
      </c>
      <c r="W614">
        <v>1164</v>
      </c>
      <c r="X614">
        <v>-4595</v>
      </c>
      <c r="Y614">
        <v>176</v>
      </c>
      <c r="Z614">
        <v>2.4473160000000001E-2</v>
      </c>
      <c r="AA614">
        <v>5759</v>
      </c>
      <c r="AB614">
        <v>0</v>
      </c>
      <c r="AC614">
        <v>176</v>
      </c>
      <c r="AD614">
        <v>3.0560861000000002E-2</v>
      </c>
      <c r="AE614">
        <v>0</v>
      </c>
      <c r="AF614">
        <v>176</v>
      </c>
      <c r="AG614">
        <v>0</v>
      </c>
      <c r="AH614">
        <f t="shared" si="9"/>
        <v>3.0560861260635529E-2</v>
      </c>
    </row>
    <row r="615" spans="1:34" x14ac:dyDescent="0.25">
      <c r="A615" s="1">
        <v>44397</v>
      </c>
      <c r="B615">
        <v>581</v>
      </c>
      <c r="C615">
        <v>-1.7182129999999999E-3</v>
      </c>
      <c r="D615">
        <v>920</v>
      </c>
      <c r="E615">
        <v>1.0881389999999999E-3</v>
      </c>
      <c r="F615">
        <v>-2.8063519999999998E-3</v>
      </c>
      <c r="G615">
        <v>2.8063519999999998E-3</v>
      </c>
      <c r="H615">
        <v>1.9595787999999999E-2</v>
      </c>
      <c r="I615">
        <v>2.3132013999999999E-2</v>
      </c>
      <c r="J615">
        <v>0</v>
      </c>
      <c r="K615">
        <v>0</v>
      </c>
      <c r="L615">
        <v>0</v>
      </c>
      <c r="M615">
        <v>5</v>
      </c>
      <c r="N615">
        <v>1.0028111829999999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W615">
        <v>0</v>
      </c>
      <c r="X615">
        <v>0</v>
      </c>
      <c r="Y615">
        <v>0</v>
      </c>
      <c r="Z615">
        <v>2.3132013999999999E-2</v>
      </c>
      <c r="AA615">
        <v>0</v>
      </c>
      <c r="AB615" t="s">
        <v>33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f t="shared" si="9"/>
        <v>0</v>
      </c>
    </row>
    <row r="616" spans="1:34" x14ac:dyDescent="0.25">
      <c r="A616" s="1">
        <v>44398</v>
      </c>
      <c r="B616">
        <v>585</v>
      </c>
      <c r="C616">
        <v>6.8846819999999996E-3</v>
      </c>
      <c r="D616">
        <v>912</v>
      </c>
      <c r="E616">
        <v>-8.6956519999999999E-3</v>
      </c>
      <c r="F616">
        <v>1.5580334E-2</v>
      </c>
      <c r="G616">
        <v>1.5580334E-2</v>
      </c>
      <c r="H616">
        <v>1.8924241000000001E-2</v>
      </c>
      <c r="I616">
        <v>2.3104498000000001E-2</v>
      </c>
      <c r="J616">
        <v>1</v>
      </c>
      <c r="K616">
        <v>0</v>
      </c>
      <c r="L616">
        <v>0</v>
      </c>
      <c r="M616">
        <v>5</v>
      </c>
      <c r="N616">
        <v>1.969052397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W616">
        <v>0</v>
      </c>
      <c r="X616">
        <v>0</v>
      </c>
      <c r="Y616">
        <v>0</v>
      </c>
      <c r="Z616">
        <v>2.3104498000000001E-2</v>
      </c>
      <c r="AA616">
        <v>0</v>
      </c>
      <c r="AB616" t="s">
        <v>33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f t="shared" si="9"/>
        <v>0</v>
      </c>
    </row>
    <row r="617" spans="1:34" x14ac:dyDescent="0.25">
      <c r="A617" s="1">
        <v>44399</v>
      </c>
      <c r="B617">
        <v>591</v>
      </c>
      <c r="C617">
        <v>1.0256410000000001E-2</v>
      </c>
      <c r="D617">
        <v>919</v>
      </c>
      <c r="E617">
        <v>7.675439E-3</v>
      </c>
      <c r="F617">
        <v>2.580972E-3</v>
      </c>
      <c r="G617">
        <v>2.580972E-3</v>
      </c>
      <c r="H617">
        <v>2.0482829000000001E-2</v>
      </c>
      <c r="I617">
        <v>1.9557689E-2</v>
      </c>
      <c r="J617">
        <v>1</v>
      </c>
      <c r="K617">
        <v>0</v>
      </c>
      <c r="L617">
        <v>0</v>
      </c>
      <c r="M617">
        <v>5</v>
      </c>
      <c r="N617">
        <v>1.1636861030000001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W617">
        <v>0</v>
      </c>
      <c r="X617">
        <v>0</v>
      </c>
      <c r="Y617">
        <v>0</v>
      </c>
      <c r="Z617">
        <v>2.0482829000000001E-2</v>
      </c>
      <c r="AA617">
        <v>0</v>
      </c>
      <c r="AB617" t="s">
        <v>33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f t="shared" si="9"/>
        <v>0</v>
      </c>
    </row>
    <row r="618" spans="1:34" x14ac:dyDescent="0.25">
      <c r="A618" s="1">
        <v>44400</v>
      </c>
      <c r="B618">
        <v>585</v>
      </c>
      <c r="C618">
        <v>-1.0152283999999999E-2</v>
      </c>
      <c r="D618">
        <v>933</v>
      </c>
      <c r="E618">
        <v>1.523395E-2</v>
      </c>
      <c r="F618">
        <v>-2.5386234000000001E-2</v>
      </c>
      <c r="G618">
        <v>2.5386234000000001E-2</v>
      </c>
      <c r="H618">
        <v>9.8882199999999996E-3</v>
      </c>
      <c r="I618">
        <v>2.1361982000000002E-2</v>
      </c>
      <c r="J618">
        <v>0</v>
      </c>
      <c r="K618">
        <v>1</v>
      </c>
      <c r="L618">
        <v>1</v>
      </c>
      <c r="M618">
        <v>5</v>
      </c>
      <c r="N618">
        <v>2.3931754139999999</v>
      </c>
      <c r="O618">
        <v>12</v>
      </c>
      <c r="P618">
        <v>-5</v>
      </c>
      <c r="Q618">
        <v>17</v>
      </c>
      <c r="R618">
        <v>-7020</v>
      </c>
      <c r="S618">
        <v>4665</v>
      </c>
      <c r="T618">
        <v>0</v>
      </c>
      <c r="U618">
        <v>0</v>
      </c>
      <c r="V618" t="s">
        <v>34</v>
      </c>
      <c r="W618">
        <v>-7020</v>
      </c>
      <c r="X618">
        <v>4665</v>
      </c>
      <c r="Y618">
        <v>0</v>
      </c>
      <c r="Z618">
        <v>2.1361982000000002E-2</v>
      </c>
      <c r="AA618">
        <v>11685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11685</v>
      </c>
      <c r="AH618">
        <f t="shared" si="9"/>
        <v>0</v>
      </c>
    </row>
    <row r="619" spans="1:34" x14ac:dyDescent="0.25">
      <c r="A619" s="1">
        <v>44403</v>
      </c>
      <c r="B619">
        <v>580</v>
      </c>
      <c r="C619">
        <v>-8.5470089999999995E-3</v>
      </c>
      <c r="D619">
        <v>923</v>
      </c>
      <c r="E619">
        <v>-1.0718114000000001E-2</v>
      </c>
      <c r="F619">
        <v>2.171105E-3</v>
      </c>
      <c r="G619">
        <v>2.171105E-3</v>
      </c>
      <c r="H619">
        <v>9.0763189999999994E-3</v>
      </c>
      <c r="I619">
        <v>1.0936862E-2</v>
      </c>
      <c r="J619">
        <v>1</v>
      </c>
      <c r="K619">
        <v>0</v>
      </c>
      <c r="L619">
        <v>-1</v>
      </c>
      <c r="M619">
        <v>5</v>
      </c>
      <c r="N619">
        <v>1.995620357</v>
      </c>
      <c r="O619">
        <v>-12</v>
      </c>
      <c r="P619">
        <v>5</v>
      </c>
      <c r="Q619">
        <v>17</v>
      </c>
      <c r="R619">
        <v>6960</v>
      </c>
      <c r="S619">
        <v>-4615</v>
      </c>
      <c r="T619">
        <v>-60</v>
      </c>
      <c r="U619">
        <v>50</v>
      </c>
      <c r="V619" t="s">
        <v>35</v>
      </c>
      <c r="W619">
        <v>6960</v>
      </c>
      <c r="X619">
        <v>-4615</v>
      </c>
      <c r="Y619">
        <v>-10</v>
      </c>
      <c r="Z619">
        <v>1.0936862E-2</v>
      </c>
      <c r="AA619">
        <v>11575</v>
      </c>
      <c r="AB619">
        <v>0</v>
      </c>
      <c r="AC619">
        <v>-10</v>
      </c>
      <c r="AD619">
        <v>-8.6393099999999997E-4</v>
      </c>
      <c r="AE619">
        <v>0</v>
      </c>
      <c r="AF619">
        <v>-10</v>
      </c>
      <c r="AG619">
        <v>0</v>
      </c>
      <c r="AH619">
        <f t="shared" si="9"/>
        <v>-8.6393088552915766E-4</v>
      </c>
    </row>
    <row r="620" spans="1:34" x14ac:dyDescent="0.25">
      <c r="A620" s="1">
        <v>44404</v>
      </c>
      <c r="B620">
        <v>580</v>
      </c>
      <c r="C620">
        <v>0</v>
      </c>
      <c r="D620">
        <v>938</v>
      </c>
      <c r="E620">
        <v>1.6251353999999999E-2</v>
      </c>
      <c r="F620">
        <v>-1.6251353999999999E-2</v>
      </c>
      <c r="G620">
        <v>1.6251353999999999E-2</v>
      </c>
      <c r="H620">
        <v>9.0585240000000001E-3</v>
      </c>
      <c r="I620">
        <v>1.2918938E-2</v>
      </c>
      <c r="J620">
        <v>0</v>
      </c>
      <c r="K620">
        <v>0</v>
      </c>
      <c r="L620">
        <v>0</v>
      </c>
      <c r="M620">
        <v>5</v>
      </c>
      <c r="N620" t="s">
        <v>36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W620">
        <v>0</v>
      </c>
      <c r="X620">
        <v>0</v>
      </c>
      <c r="Y620">
        <v>0</v>
      </c>
      <c r="Z620">
        <v>1.2918938E-2</v>
      </c>
      <c r="AA620">
        <v>0</v>
      </c>
      <c r="AB620" t="s">
        <v>33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f t="shared" si="9"/>
        <v>0</v>
      </c>
    </row>
    <row r="621" spans="1:34" x14ac:dyDescent="0.25">
      <c r="A621" s="1">
        <v>44405</v>
      </c>
      <c r="B621">
        <v>579</v>
      </c>
      <c r="C621">
        <v>-1.7241380000000001E-3</v>
      </c>
      <c r="D621">
        <v>890</v>
      </c>
      <c r="E621">
        <v>-5.1172707999999997E-2</v>
      </c>
      <c r="F621">
        <v>4.9448569999999997E-2</v>
      </c>
      <c r="G621">
        <v>4.9448569999999997E-2</v>
      </c>
      <c r="H621">
        <v>8.1180839999999994E-3</v>
      </c>
      <c r="I621">
        <v>2.8219164000000001E-2</v>
      </c>
      <c r="J621">
        <v>1</v>
      </c>
      <c r="K621">
        <v>1</v>
      </c>
      <c r="L621">
        <v>1</v>
      </c>
      <c r="M621">
        <v>5</v>
      </c>
      <c r="N621">
        <v>45.622369280000001</v>
      </c>
      <c r="O621">
        <v>-229</v>
      </c>
      <c r="P621">
        <v>5</v>
      </c>
      <c r="Q621">
        <v>234</v>
      </c>
      <c r="R621">
        <v>132591</v>
      </c>
      <c r="S621">
        <v>-4450</v>
      </c>
      <c r="T621">
        <v>0</v>
      </c>
      <c r="U621">
        <v>0</v>
      </c>
      <c r="V621" t="s">
        <v>34</v>
      </c>
      <c r="W621">
        <v>132591</v>
      </c>
      <c r="X621">
        <v>-4450</v>
      </c>
      <c r="Y621">
        <v>0</v>
      </c>
      <c r="Z621">
        <v>2.8219164000000001E-2</v>
      </c>
      <c r="AA621">
        <v>137041</v>
      </c>
      <c r="AB621">
        <v>0.03</v>
      </c>
      <c r="AC621">
        <v>0</v>
      </c>
      <c r="AD621">
        <v>0</v>
      </c>
      <c r="AE621">
        <v>0</v>
      </c>
      <c r="AF621">
        <v>0</v>
      </c>
      <c r="AG621">
        <v>137041</v>
      </c>
      <c r="AH621">
        <f t="shared" si="9"/>
        <v>0</v>
      </c>
    </row>
    <row r="622" spans="1:34" x14ac:dyDescent="0.25">
      <c r="A622" s="1">
        <v>44406</v>
      </c>
      <c r="B622">
        <v>583</v>
      </c>
      <c r="C622">
        <v>6.9084630000000001E-3</v>
      </c>
      <c r="D622">
        <v>933</v>
      </c>
      <c r="E622">
        <v>4.8314607000000002E-2</v>
      </c>
      <c r="F622">
        <v>-4.1406143999999999E-2</v>
      </c>
      <c r="G622">
        <v>4.1406143999999999E-2</v>
      </c>
      <c r="H622">
        <v>6.8972620000000004E-3</v>
      </c>
      <c r="I622">
        <v>3.7080513000000002E-2</v>
      </c>
      <c r="J622">
        <v>0</v>
      </c>
      <c r="K622">
        <v>0</v>
      </c>
      <c r="L622">
        <v>-1</v>
      </c>
      <c r="M622">
        <v>5</v>
      </c>
      <c r="N622">
        <v>11.192062079999999</v>
      </c>
      <c r="O622">
        <v>229</v>
      </c>
      <c r="P622">
        <v>-5</v>
      </c>
      <c r="Q622">
        <v>234</v>
      </c>
      <c r="R622">
        <v>-133507</v>
      </c>
      <c r="S622">
        <v>4665</v>
      </c>
      <c r="T622">
        <v>-916</v>
      </c>
      <c r="U622">
        <v>215</v>
      </c>
      <c r="V622" t="s">
        <v>35</v>
      </c>
      <c r="W622">
        <v>-133507</v>
      </c>
      <c r="X622">
        <v>4665</v>
      </c>
      <c r="Y622">
        <v>-701</v>
      </c>
      <c r="Z622">
        <v>3.7080513000000002E-2</v>
      </c>
      <c r="AA622">
        <v>138172</v>
      </c>
      <c r="AB622">
        <v>0.03</v>
      </c>
      <c r="AC622">
        <v>-701</v>
      </c>
      <c r="AD622">
        <v>-5.0733870000000004E-3</v>
      </c>
      <c r="AE622">
        <v>0</v>
      </c>
      <c r="AF622">
        <v>-701</v>
      </c>
      <c r="AG622">
        <v>0</v>
      </c>
      <c r="AH622">
        <f t="shared" si="9"/>
        <v>-5.0733867932721537E-3</v>
      </c>
    </row>
    <row r="623" spans="1:34" x14ac:dyDescent="0.25">
      <c r="A623" s="1">
        <v>44407</v>
      </c>
      <c r="B623">
        <v>580</v>
      </c>
      <c r="C623">
        <v>-5.145798E-3</v>
      </c>
      <c r="D623">
        <v>910</v>
      </c>
      <c r="E623">
        <v>-2.4651660999999998E-2</v>
      </c>
      <c r="F623">
        <v>1.9505864000000001E-2</v>
      </c>
      <c r="G623">
        <v>1.9505864000000001E-2</v>
      </c>
      <c r="H623">
        <v>5.8256169999999999E-3</v>
      </c>
      <c r="I623">
        <v>3.8219899000000002E-2</v>
      </c>
      <c r="J623">
        <v>1</v>
      </c>
      <c r="K623">
        <v>0</v>
      </c>
      <c r="L623">
        <v>0</v>
      </c>
      <c r="M623">
        <v>5</v>
      </c>
      <c r="N623">
        <v>7.5163482029999997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W623">
        <v>0</v>
      </c>
      <c r="X623">
        <v>0</v>
      </c>
      <c r="Y623">
        <v>0</v>
      </c>
      <c r="Z623">
        <v>3.8219899000000002E-2</v>
      </c>
      <c r="AA623">
        <v>0</v>
      </c>
      <c r="AB623" t="s">
        <v>33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f t="shared" si="9"/>
        <v>0</v>
      </c>
    </row>
    <row r="624" spans="1:34" x14ac:dyDescent="0.25">
      <c r="A624" s="1">
        <v>44410</v>
      </c>
      <c r="B624">
        <v>590</v>
      </c>
      <c r="C624">
        <v>1.7241379000000001E-2</v>
      </c>
      <c r="D624">
        <v>934</v>
      </c>
      <c r="E624">
        <v>2.6373626000000001E-2</v>
      </c>
      <c r="F624">
        <v>-9.1322469999999996E-3</v>
      </c>
      <c r="G624">
        <v>9.1322469999999996E-3</v>
      </c>
      <c r="H624">
        <v>8.8702429999999999E-3</v>
      </c>
      <c r="I624">
        <v>4.0232549999999999E-2</v>
      </c>
      <c r="J624">
        <v>0</v>
      </c>
      <c r="K624">
        <v>0</v>
      </c>
      <c r="L624">
        <v>0</v>
      </c>
      <c r="M624">
        <v>5</v>
      </c>
      <c r="N624">
        <v>2.421545912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W624">
        <v>0</v>
      </c>
      <c r="X624">
        <v>0</v>
      </c>
      <c r="Y624">
        <v>0</v>
      </c>
      <c r="Z624">
        <v>4.0232549999999999E-2</v>
      </c>
      <c r="AA624">
        <v>0</v>
      </c>
      <c r="AB624" t="s">
        <v>33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f t="shared" si="9"/>
        <v>0</v>
      </c>
    </row>
    <row r="625" spans="1:34" x14ac:dyDescent="0.25">
      <c r="A625" s="1">
        <v>44411</v>
      </c>
      <c r="B625">
        <v>594</v>
      </c>
      <c r="C625">
        <v>6.7796610000000002E-3</v>
      </c>
      <c r="D625">
        <v>938</v>
      </c>
      <c r="E625">
        <v>4.2826549999999998E-3</v>
      </c>
      <c r="F625">
        <v>2.497006E-3</v>
      </c>
      <c r="G625">
        <v>2.497006E-3</v>
      </c>
      <c r="H625">
        <v>8.7268999999999992E-3</v>
      </c>
      <c r="I625">
        <v>3.9599812999999998E-2</v>
      </c>
      <c r="J625">
        <v>1</v>
      </c>
      <c r="K625">
        <v>0</v>
      </c>
      <c r="L625">
        <v>0</v>
      </c>
      <c r="M625">
        <v>5</v>
      </c>
      <c r="N625">
        <v>0.99751980900000004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W625">
        <v>0</v>
      </c>
      <c r="X625">
        <v>0</v>
      </c>
      <c r="Y625">
        <v>0</v>
      </c>
      <c r="Z625">
        <v>3.9599812999999998E-2</v>
      </c>
      <c r="AA625">
        <v>0</v>
      </c>
      <c r="AB625" t="s">
        <v>33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f t="shared" si="9"/>
        <v>0</v>
      </c>
    </row>
    <row r="626" spans="1:34" x14ac:dyDescent="0.25">
      <c r="A626" s="1">
        <v>44412</v>
      </c>
      <c r="B626">
        <v>596</v>
      </c>
      <c r="C626">
        <v>3.3670029999999999E-3</v>
      </c>
      <c r="D626">
        <v>950</v>
      </c>
      <c r="E626">
        <v>1.2793176999999999E-2</v>
      </c>
      <c r="F626">
        <v>-9.4261740000000007E-3</v>
      </c>
      <c r="G626">
        <v>9.4261740000000007E-3</v>
      </c>
      <c r="H626">
        <v>8.0439259999999999E-3</v>
      </c>
      <c r="I626">
        <v>2.70128E-2</v>
      </c>
      <c r="J626">
        <v>0</v>
      </c>
      <c r="K626">
        <v>0</v>
      </c>
      <c r="L626">
        <v>0</v>
      </c>
      <c r="M626">
        <v>5</v>
      </c>
      <c r="N626">
        <v>6.0563672530000003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W626">
        <v>0</v>
      </c>
      <c r="X626">
        <v>0</v>
      </c>
      <c r="Y626">
        <v>0</v>
      </c>
      <c r="Z626">
        <v>2.70128E-2</v>
      </c>
      <c r="AA626">
        <v>0</v>
      </c>
      <c r="AB626" t="s">
        <v>33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f t="shared" si="9"/>
        <v>0</v>
      </c>
    </row>
    <row r="627" spans="1:34" x14ac:dyDescent="0.25">
      <c r="A627" s="1">
        <v>44413</v>
      </c>
      <c r="B627">
        <v>596</v>
      </c>
      <c r="C627">
        <v>0</v>
      </c>
      <c r="D627">
        <v>961</v>
      </c>
      <c r="E627">
        <v>1.1578946999999999E-2</v>
      </c>
      <c r="F627">
        <v>-1.1578946999999999E-2</v>
      </c>
      <c r="G627">
        <v>1.1578946999999999E-2</v>
      </c>
      <c r="H627">
        <v>8.3979369999999994E-3</v>
      </c>
      <c r="I627">
        <v>1.8939389000000001E-2</v>
      </c>
      <c r="J627">
        <v>0</v>
      </c>
      <c r="K627">
        <v>0</v>
      </c>
      <c r="L627">
        <v>0</v>
      </c>
      <c r="M627">
        <v>5</v>
      </c>
      <c r="N627" t="s">
        <v>36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W627">
        <v>0</v>
      </c>
      <c r="X627">
        <v>0</v>
      </c>
      <c r="Y627">
        <v>0</v>
      </c>
      <c r="Z627">
        <v>1.8939389000000001E-2</v>
      </c>
      <c r="AA627">
        <v>0</v>
      </c>
      <c r="AB627" t="s">
        <v>33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f t="shared" si="9"/>
        <v>0</v>
      </c>
    </row>
    <row r="628" spans="1:34" x14ac:dyDescent="0.25">
      <c r="A628" s="1">
        <v>44414</v>
      </c>
      <c r="B628">
        <v>591</v>
      </c>
      <c r="C628">
        <v>-8.3892619999999998E-3</v>
      </c>
      <c r="D628">
        <v>936</v>
      </c>
      <c r="E628">
        <v>-2.6014567999999998E-2</v>
      </c>
      <c r="F628">
        <v>1.7625306E-2</v>
      </c>
      <c r="G628">
        <v>1.7625306E-2</v>
      </c>
      <c r="H628">
        <v>9.3908819999999997E-3</v>
      </c>
      <c r="I628">
        <v>1.949387E-2</v>
      </c>
      <c r="J628">
        <v>1</v>
      </c>
      <c r="K628">
        <v>0</v>
      </c>
      <c r="L628">
        <v>0</v>
      </c>
      <c r="M628">
        <v>5</v>
      </c>
      <c r="N628">
        <v>4.9111278970000001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W628">
        <v>0</v>
      </c>
      <c r="X628">
        <v>0</v>
      </c>
      <c r="Y628">
        <v>0</v>
      </c>
      <c r="Z628">
        <v>1.949387E-2</v>
      </c>
      <c r="AA628">
        <v>0</v>
      </c>
      <c r="AB628" t="s">
        <v>33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f t="shared" si="9"/>
        <v>0</v>
      </c>
    </row>
    <row r="629" spans="1:34" x14ac:dyDescent="0.25">
      <c r="A629" s="1">
        <v>44417</v>
      </c>
      <c r="B629">
        <v>595</v>
      </c>
      <c r="C629">
        <v>6.7681900000000003E-3</v>
      </c>
      <c r="D629">
        <v>921</v>
      </c>
      <c r="E629">
        <v>-1.6025641E-2</v>
      </c>
      <c r="F629">
        <v>2.2793831000000001E-2</v>
      </c>
      <c r="G629">
        <v>2.2793831000000001E-2</v>
      </c>
      <c r="H629">
        <v>6.3037980000000002E-3</v>
      </c>
      <c r="I629">
        <v>1.7419984999999999E-2</v>
      </c>
      <c r="J629">
        <v>1</v>
      </c>
      <c r="K629">
        <v>1</v>
      </c>
      <c r="L629">
        <v>1</v>
      </c>
      <c r="M629">
        <v>5</v>
      </c>
      <c r="N629">
        <v>3.66509777</v>
      </c>
      <c r="O629">
        <v>-19</v>
      </c>
      <c r="P629">
        <v>5</v>
      </c>
      <c r="Q629">
        <v>24</v>
      </c>
      <c r="R629">
        <v>11305</v>
      </c>
      <c r="S629">
        <v>-4605</v>
      </c>
      <c r="T629">
        <v>0</v>
      </c>
      <c r="U629">
        <v>0</v>
      </c>
      <c r="V629" t="s">
        <v>34</v>
      </c>
      <c r="W629">
        <v>11305</v>
      </c>
      <c r="X629">
        <v>-4605</v>
      </c>
      <c r="Y629">
        <v>0</v>
      </c>
      <c r="Z629">
        <v>1.7419984999999999E-2</v>
      </c>
      <c r="AA629">
        <v>15910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15910</v>
      </c>
      <c r="AH629">
        <f t="shared" si="9"/>
        <v>0</v>
      </c>
    </row>
    <row r="630" spans="1:34" x14ac:dyDescent="0.25">
      <c r="A630" s="1">
        <v>44418</v>
      </c>
      <c r="B630">
        <v>591</v>
      </c>
      <c r="C630">
        <v>-6.7226889999999996E-3</v>
      </c>
      <c r="D630">
        <v>922</v>
      </c>
      <c r="E630">
        <v>1.0857760000000001E-3</v>
      </c>
      <c r="F630">
        <v>-7.8084649999999997E-3</v>
      </c>
      <c r="G630">
        <v>7.8084649999999997E-3</v>
      </c>
      <c r="H630">
        <v>6.4762209999999999E-3</v>
      </c>
      <c r="I630">
        <v>1.7157365000000001E-2</v>
      </c>
      <c r="J630">
        <v>0</v>
      </c>
      <c r="K630">
        <v>0</v>
      </c>
      <c r="L630">
        <v>-1</v>
      </c>
      <c r="M630">
        <v>5</v>
      </c>
      <c r="N630">
        <v>0.25196532900000002</v>
      </c>
      <c r="O630">
        <v>19</v>
      </c>
      <c r="P630">
        <v>-5</v>
      </c>
      <c r="Q630">
        <v>24</v>
      </c>
      <c r="R630">
        <v>-11229</v>
      </c>
      <c r="S630">
        <v>4610</v>
      </c>
      <c r="T630">
        <v>76</v>
      </c>
      <c r="U630">
        <v>5</v>
      </c>
      <c r="V630" t="s">
        <v>35</v>
      </c>
      <c r="W630">
        <v>-11229</v>
      </c>
      <c r="X630">
        <v>4610</v>
      </c>
      <c r="Y630">
        <v>81</v>
      </c>
      <c r="Z630">
        <v>1.7157365000000001E-2</v>
      </c>
      <c r="AA630">
        <v>15839</v>
      </c>
      <c r="AB630">
        <v>0</v>
      </c>
      <c r="AC630">
        <v>81</v>
      </c>
      <c r="AD630">
        <v>5.1139590000000004E-3</v>
      </c>
      <c r="AE630">
        <v>0</v>
      </c>
      <c r="AF630">
        <v>81</v>
      </c>
      <c r="AG630">
        <v>0</v>
      </c>
      <c r="AH630">
        <f t="shared" si="9"/>
        <v>5.1139592145968815E-3</v>
      </c>
    </row>
    <row r="631" spans="1:34" x14ac:dyDescent="0.25">
      <c r="A631" s="1">
        <v>44419</v>
      </c>
      <c r="B631">
        <v>590</v>
      </c>
      <c r="C631">
        <v>-1.6920469999999999E-3</v>
      </c>
      <c r="D631">
        <v>910</v>
      </c>
      <c r="E631">
        <v>-1.3015184000000001E-2</v>
      </c>
      <c r="F631">
        <v>1.1323137E-2</v>
      </c>
      <c r="G631">
        <v>1.1323137E-2</v>
      </c>
      <c r="H631">
        <v>6.0021279999999998E-3</v>
      </c>
      <c r="I631">
        <v>1.4822543000000001E-2</v>
      </c>
      <c r="J631">
        <v>1</v>
      </c>
      <c r="K631">
        <v>0</v>
      </c>
      <c r="L631">
        <v>0</v>
      </c>
      <c r="M631">
        <v>5</v>
      </c>
      <c r="N631">
        <v>11.86389205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W631">
        <v>0</v>
      </c>
      <c r="X631">
        <v>0</v>
      </c>
      <c r="Y631">
        <v>0</v>
      </c>
      <c r="Z631">
        <v>1.4822543000000001E-2</v>
      </c>
      <c r="AA631">
        <v>0</v>
      </c>
      <c r="AB631" t="s">
        <v>33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f t="shared" si="9"/>
        <v>0</v>
      </c>
    </row>
    <row r="632" spans="1:34" x14ac:dyDescent="0.25">
      <c r="A632" s="1">
        <v>44420</v>
      </c>
      <c r="B632">
        <v>586</v>
      </c>
      <c r="C632">
        <v>-6.7796610000000002E-3</v>
      </c>
      <c r="D632">
        <v>904</v>
      </c>
      <c r="E632">
        <v>-6.5934069999999999E-3</v>
      </c>
      <c r="F632">
        <v>-1.8625400000000001E-4</v>
      </c>
      <c r="G632">
        <v>1.8625400000000001E-4</v>
      </c>
      <c r="H632">
        <v>6.1979330000000001E-3</v>
      </c>
      <c r="I632">
        <v>1.0174107999999999E-2</v>
      </c>
      <c r="J632">
        <v>0</v>
      </c>
      <c r="K632">
        <v>0</v>
      </c>
      <c r="L632">
        <v>0</v>
      </c>
      <c r="M632">
        <v>5</v>
      </c>
      <c r="N632">
        <v>1.5002812889999999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W632">
        <v>0</v>
      </c>
      <c r="X632">
        <v>0</v>
      </c>
      <c r="Y632">
        <v>0</v>
      </c>
      <c r="Z632">
        <v>1.0174107999999999E-2</v>
      </c>
      <c r="AA632">
        <v>0</v>
      </c>
      <c r="AB632" t="s">
        <v>33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f t="shared" si="9"/>
        <v>0</v>
      </c>
    </row>
    <row r="633" spans="1:34" x14ac:dyDescent="0.25">
      <c r="A633" s="1">
        <v>44421</v>
      </c>
      <c r="B633">
        <v>581</v>
      </c>
      <c r="C633">
        <v>-8.5324230000000008E-3</v>
      </c>
      <c r="D633">
        <v>910</v>
      </c>
      <c r="E633">
        <v>6.6371679999999997E-3</v>
      </c>
      <c r="F633">
        <v>-1.5169591E-2</v>
      </c>
      <c r="G633">
        <v>1.5169591E-2</v>
      </c>
      <c r="H633">
        <v>6.2272179999999996E-3</v>
      </c>
      <c r="I633">
        <v>9.4751269999999999E-3</v>
      </c>
      <c r="J633">
        <v>0</v>
      </c>
      <c r="K633">
        <v>1</v>
      </c>
      <c r="L633">
        <v>1</v>
      </c>
      <c r="M633">
        <v>5</v>
      </c>
      <c r="N633">
        <v>1.2183601660000001</v>
      </c>
      <c r="O633">
        <v>7</v>
      </c>
      <c r="P633">
        <v>-5</v>
      </c>
      <c r="Q633">
        <v>12</v>
      </c>
      <c r="R633">
        <v>-4067</v>
      </c>
      <c r="S633">
        <v>4550</v>
      </c>
      <c r="T633">
        <v>0</v>
      </c>
      <c r="U633">
        <v>0</v>
      </c>
      <c r="V633" t="s">
        <v>34</v>
      </c>
      <c r="W633">
        <v>-4067</v>
      </c>
      <c r="X633">
        <v>4550</v>
      </c>
      <c r="Y633">
        <v>0</v>
      </c>
      <c r="Z633">
        <v>9.4751269999999999E-3</v>
      </c>
      <c r="AA633">
        <v>8617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8617</v>
      </c>
      <c r="AH633">
        <f t="shared" si="9"/>
        <v>0</v>
      </c>
    </row>
    <row r="634" spans="1:34" x14ac:dyDescent="0.25">
      <c r="A634" s="1">
        <v>44424</v>
      </c>
      <c r="B634">
        <v>584</v>
      </c>
      <c r="C634">
        <v>5.163511E-3</v>
      </c>
      <c r="D634">
        <v>901</v>
      </c>
      <c r="E634">
        <v>-9.8901100000000006E-3</v>
      </c>
      <c r="F634">
        <v>1.5053621E-2</v>
      </c>
      <c r="G634">
        <v>1.5053621E-2</v>
      </c>
      <c r="H634">
        <v>5.5804610000000001E-3</v>
      </c>
      <c r="I634">
        <v>8.0789309999999993E-3</v>
      </c>
      <c r="J634">
        <v>1</v>
      </c>
      <c r="K634">
        <v>0</v>
      </c>
      <c r="L634">
        <v>-1</v>
      </c>
      <c r="M634">
        <v>5</v>
      </c>
      <c r="N634">
        <v>2.9550711280000002</v>
      </c>
      <c r="O634">
        <v>-7</v>
      </c>
      <c r="P634">
        <v>5</v>
      </c>
      <c r="Q634">
        <v>12</v>
      </c>
      <c r="R634">
        <v>4088</v>
      </c>
      <c r="S634">
        <v>-4505</v>
      </c>
      <c r="T634">
        <v>21</v>
      </c>
      <c r="U634">
        <v>45</v>
      </c>
      <c r="V634" t="s">
        <v>35</v>
      </c>
      <c r="W634">
        <v>4088</v>
      </c>
      <c r="X634">
        <v>-4505</v>
      </c>
      <c r="Y634">
        <v>66</v>
      </c>
      <c r="Z634">
        <v>8.0789309999999993E-3</v>
      </c>
      <c r="AA634">
        <v>8593</v>
      </c>
      <c r="AB634">
        <v>0</v>
      </c>
      <c r="AC634">
        <v>66</v>
      </c>
      <c r="AD634">
        <v>7.6806699999999997E-3</v>
      </c>
      <c r="AE634">
        <v>0</v>
      </c>
      <c r="AF634">
        <v>66</v>
      </c>
      <c r="AG634">
        <v>0</v>
      </c>
      <c r="AH634">
        <f t="shared" si="9"/>
        <v>7.6806703130455024E-3</v>
      </c>
    </row>
    <row r="635" spans="1:34" x14ac:dyDescent="0.25">
      <c r="A635" s="1">
        <v>44425</v>
      </c>
      <c r="B635">
        <v>584</v>
      </c>
      <c r="C635">
        <v>0</v>
      </c>
      <c r="D635">
        <v>901</v>
      </c>
      <c r="E635">
        <v>0</v>
      </c>
      <c r="F635">
        <v>0</v>
      </c>
      <c r="G635">
        <v>0</v>
      </c>
      <c r="H635">
        <v>5.4829479999999996E-3</v>
      </c>
      <c r="I635">
        <v>7.9089250000000007E-3</v>
      </c>
      <c r="J635">
        <v>1</v>
      </c>
      <c r="K635">
        <v>0</v>
      </c>
      <c r="L635">
        <v>0</v>
      </c>
      <c r="M635">
        <v>5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W635">
        <v>0</v>
      </c>
      <c r="X635">
        <v>0</v>
      </c>
      <c r="Y635">
        <v>0</v>
      </c>
      <c r="Z635">
        <v>7.9089250000000007E-3</v>
      </c>
      <c r="AA635">
        <v>0</v>
      </c>
      <c r="AB635" t="s">
        <v>33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f t="shared" si="9"/>
        <v>0</v>
      </c>
    </row>
    <row r="636" spans="1:34" x14ac:dyDescent="0.25">
      <c r="A636" s="1">
        <v>44426</v>
      </c>
      <c r="B636">
        <v>574</v>
      </c>
      <c r="C636">
        <v>-1.7123288E-2</v>
      </c>
      <c r="D636">
        <v>912</v>
      </c>
      <c r="E636">
        <v>1.2208656999999999E-2</v>
      </c>
      <c r="F636">
        <v>-2.9331945000000002E-2</v>
      </c>
      <c r="G636">
        <v>2.9331945000000002E-2</v>
      </c>
      <c r="H636">
        <v>8.5129899999999998E-3</v>
      </c>
      <c r="I636">
        <v>9.1279039999999992E-3</v>
      </c>
      <c r="J636">
        <v>0</v>
      </c>
      <c r="K636">
        <v>1</v>
      </c>
      <c r="L636">
        <v>1</v>
      </c>
      <c r="M636">
        <v>5</v>
      </c>
      <c r="N636">
        <v>1.1328272500000001</v>
      </c>
      <c r="O636">
        <v>6</v>
      </c>
      <c r="P636">
        <v>-5</v>
      </c>
      <c r="Q636">
        <v>11</v>
      </c>
      <c r="R636">
        <v>-3444</v>
      </c>
      <c r="S636">
        <v>4560</v>
      </c>
      <c r="T636">
        <v>0</v>
      </c>
      <c r="U636">
        <v>0</v>
      </c>
      <c r="V636" t="s">
        <v>34</v>
      </c>
      <c r="W636">
        <v>-3444</v>
      </c>
      <c r="X636">
        <v>4560</v>
      </c>
      <c r="Y636">
        <v>0</v>
      </c>
      <c r="Z636">
        <v>9.1279039999999992E-3</v>
      </c>
      <c r="AA636">
        <v>8004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8004</v>
      </c>
      <c r="AH636">
        <f t="shared" si="9"/>
        <v>0</v>
      </c>
    </row>
    <row r="637" spans="1:34" x14ac:dyDescent="0.25">
      <c r="A637" s="1">
        <v>44427</v>
      </c>
      <c r="B637">
        <v>559</v>
      </c>
      <c r="C637">
        <v>-2.6132404000000001E-2</v>
      </c>
      <c r="D637">
        <v>888</v>
      </c>
      <c r="E637">
        <v>-2.6315788999999999E-2</v>
      </c>
      <c r="F637">
        <v>1.8338499999999999E-4</v>
      </c>
      <c r="G637">
        <v>1.8338499999999999E-4</v>
      </c>
      <c r="H637">
        <v>1.2657042E-2</v>
      </c>
      <c r="I637">
        <v>1.5191806E-2</v>
      </c>
      <c r="J637">
        <v>1</v>
      </c>
      <c r="K637">
        <v>0</v>
      </c>
      <c r="L637">
        <v>-1</v>
      </c>
      <c r="M637">
        <v>5</v>
      </c>
      <c r="N637">
        <v>1.59969871</v>
      </c>
      <c r="O637">
        <v>-6</v>
      </c>
      <c r="P637">
        <v>5</v>
      </c>
      <c r="Q637">
        <v>11</v>
      </c>
      <c r="R637">
        <v>3354</v>
      </c>
      <c r="S637">
        <v>-4440</v>
      </c>
      <c r="T637">
        <v>-90</v>
      </c>
      <c r="U637">
        <v>120</v>
      </c>
      <c r="V637" t="s">
        <v>35</v>
      </c>
      <c r="W637">
        <v>3354</v>
      </c>
      <c r="X637">
        <v>-4440</v>
      </c>
      <c r="Y637">
        <v>30</v>
      </c>
      <c r="Z637">
        <v>1.5191806E-2</v>
      </c>
      <c r="AA637">
        <v>7794</v>
      </c>
      <c r="AB637">
        <v>0</v>
      </c>
      <c r="AC637">
        <v>30</v>
      </c>
      <c r="AD637">
        <v>3.8491150000000002E-3</v>
      </c>
      <c r="AE637">
        <v>0</v>
      </c>
      <c r="AF637">
        <v>30</v>
      </c>
      <c r="AG637">
        <v>0</v>
      </c>
      <c r="AH637">
        <f t="shared" si="9"/>
        <v>3.8491147036181679E-3</v>
      </c>
    </row>
    <row r="638" spans="1:34" x14ac:dyDescent="0.25">
      <c r="A638" s="1">
        <v>44428</v>
      </c>
      <c r="B638">
        <v>552</v>
      </c>
      <c r="C638">
        <v>-1.2522360999999999E-2</v>
      </c>
      <c r="D638">
        <v>873</v>
      </c>
      <c r="E638">
        <v>-1.6891891999999999E-2</v>
      </c>
      <c r="F638">
        <v>4.3695310000000003E-3</v>
      </c>
      <c r="G638">
        <v>4.3695310000000003E-3</v>
      </c>
      <c r="H638">
        <v>1.2720206E-2</v>
      </c>
      <c r="I638">
        <v>1.4919267E-2</v>
      </c>
      <c r="J638">
        <v>1</v>
      </c>
      <c r="K638">
        <v>0</v>
      </c>
      <c r="L638">
        <v>0</v>
      </c>
      <c r="M638">
        <v>5</v>
      </c>
      <c r="N638">
        <v>2.1333751259999998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W638">
        <v>0</v>
      </c>
      <c r="X638">
        <v>0</v>
      </c>
      <c r="Y638">
        <v>0</v>
      </c>
      <c r="Z638">
        <v>1.4919267E-2</v>
      </c>
      <c r="AA638">
        <v>0</v>
      </c>
      <c r="AB638" t="s">
        <v>33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f t="shared" si="9"/>
        <v>0</v>
      </c>
    </row>
    <row r="639" spans="1:34" x14ac:dyDescent="0.25">
      <c r="A639" s="1">
        <v>44431</v>
      </c>
      <c r="B639">
        <v>566</v>
      </c>
      <c r="C639">
        <v>2.5362319000000001E-2</v>
      </c>
      <c r="D639">
        <v>911</v>
      </c>
      <c r="E639">
        <v>4.3528063999999998E-2</v>
      </c>
      <c r="F639">
        <v>-1.8165745000000001E-2</v>
      </c>
      <c r="G639">
        <v>1.8165745000000001E-2</v>
      </c>
      <c r="H639">
        <v>1.9944566E-2</v>
      </c>
      <c r="I639">
        <v>2.7341384E-2</v>
      </c>
      <c r="J639">
        <v>0</v>
      </c>
      <c r="K639">
        <v>0</v>
      </c>
      <c r="L639">
        <v>0</v>
      </c>
      <c r="M639">
        <v>5</v>
      </c>
      <c r="N639">
        <v>2.7623731290000002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W639">
        <v>0</v>
      </c>
      <c r="X639">
        <v>0</v>
      </c>
      <c r="Y639">
        <v>0</v>
      </c>
      <c r="Z639">
        <v>2.7341384E-2</v>
      </c>
      <c r="AA639">
        <v>0</v>
      </c>
      <c r="AB639" t="s">
        <v>33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f t="shared" si="9"/>
        <v>0</v>
      </c>
    </row>
    <row r="640" spans="1:34" x14ac:dyDescent="0.25">
      <c r="A640" s="1">
        <v>44432</v>
      </c>
      <c r="B640">
        <v>572</v>
      </c>
      <c r="C640">
        <v>1.0600706999999999E-2</v>
      </c>
      <c r="D640">
        <v>909</v>
      </c>
      <c r="E640">
        <v>-2.1953900000000002E-3</v>
      </c>
      <c r="F640">
        <v>1.2796096E-2</v>
      </c>
      <c r="G640">
        <v>1.2796096E-2</v>
      </c>
      <c r="H640">
        <v>2.1272131E-2</v>
      </c>
      <c r="I640">
        <v>2.7409229E-2</v>
      </c>
      <c r="J640">
        <v>1</v>
      </c>
      <c r="K640">
        <v>0</v>
      </c>
      <c r="L640">
        <v>0</v>
      </c>
      <c r="M640">
        <v>5</v>
      </c>
      <c r="N640">
        <v>0.329112709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W640">
        <v>0</v>
      </c>
      <c r="X640">
        <v>0</v>
      </c>
      <c r="Y640">
        <v>0</v>
      </c>
      <c r="Z640">
        <v>2.7409229E-2</v>
      </c>
      <c r="AA640">
        <v>0</v>
      </c>
      <c r="AB640" t="s">
        <v>33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f t="shared" si="9"/>
        <v>0</v>
      </c>
    </row>
    <row r="641" spans="1:34" x14ac:dyDescent="0.25">
      <c r="A641" s="1">
        <v>44433</v>
      </c>
      <c r="B641">
        <v>585</v>
      </c>
      <c r="C641">
        <v>2.2727272999999999E-2</v>
      </c>
      <c r="D641">
        <v>911</v>
      </c>
      <c r="E641">
        <v>2.2002200000000001E-3</v>
      </c>
      <c r="F641">
        <v>2.0527053E-2</v>
      </c>
      <c r="G641">
        <v>2.0527053E-2</v>
      </c>
      <c r="H641">
        <v>2.2536519000000001E-2</v>
      </c>
      <c r="I641">
        <v>2.684301E-2</v>
      </c>
      <c r="J641">
        <v>1</v>
      </c>
      <c r="K641">
        <v>0</v>
      </c>
      <c r="L641">
        <v>0</v>
      </c>
      <c r="M641">
        <v>5</v>
      </c>
      <c r="N641">
        <v>0.150758324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W641">
        <v>0</v>
      </c>
      <c r="X641">
        <v>0</v>
      </c>
      <c r="Y641">
        <v>0</v>
      </c>
      <c r="Z641">
        <v>2.684301E-2</v>
      </c>
      <c r="AA641">
        <v>0</v>
      </c>
      <c r="AB641" t="s">
        <v>33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f t="shared" si="9"/>
        <v>0</v>
      </c>
    </row>
    <row r="642" spans="1:34" x14ac:dyDescent="0.25">
      <c r="A642" s="1">
        <v>44434</v>
      </c>
      <c r="B642">
        <v>594</v>
      </c>
      <c r="C642">
        <v>1.5384615000000001E-2</v>
      </c>
      <c r="D642">
        <v>888</v>
      </c>
      <c r="E642">
        <v>-2.5246981000000002E-2</v>
      </c>
      <c r="F642">
        <v>4.0631596999999998E-2</v>
      </c>
      <c r="G642">
        <v>4.0631596999999998E-2</v>
      </c>
      <c r="H642">
        <v>1.5065719999999999E-2</v>
      </c>
      <c r="I642">
        <v>2.6583408999999999E-2</v>
      </c>
      <c r="J642">
        <v>1</v>
      </c>
      <c r="K642">
        <v>1</v>
      </c>
      <c r="L642">
        <v>1</v>
      </c>
      <c r="M642">
        <v>5</v>
      </c>
      <c r="N642">
        <v>2.4532925300000001</v>
      </c>
      <c r="O642">
        <v>-13</v>
      </c>
      <c r="P642">
        <v>5</v>
      </c>
      <c r="Q642">
        <v>18</v>
      </c>
      <c r="R642">
        <v>7722</v>
      </c>
      <c r="S642">
        <v>-4440</v>
      </c>
      <c r="T642">
        <v>0</v>
      </c>
      <c r="U642">
        <v>0</v>
      </c>
      <c r="V642" t="s">
        <v>34</v>
      </c>
      <c r="W642">
        <v>7722</v>
      </c>
      <c r="X642">
        <v>-4440</v>
      </c>
      <c r="Y642">
        <v>0</v>
      </c>
      <c r="Z642">
        <v>2.6583408999999999E-2</v>
      </c>
      <c r="AA642">
        <v>12162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12162</v>
      </c>
      <c r="AH642">
        <f t="shared" si="9"/>
        <v>0</v>
      </c>
    </row>
    <row r="643" spans="1:34" x14ac:dyDescent="0.25">
      <c r="A643" s="1">
        <v>44435</v>
      </c>
      <c r="B643">
        <v>599</v>
      </c>
      <c r="C643">
        <v>8.4175080000000006E-3</v>
      </c>
      <c r="D643">
        <v>896</v>
      </c>
      <c r="E643">
        <v>9.0090090000000001E-3</v>
      </c>
      <c r="F643">
        <v>-5.9150100000000003E-4</v>
      </c>
      <c r="G643">
        <v>5.9150100000000003E-4</v>
      </c>
      <c r="H643">
        <v>7.3941199999999997E-3</v>
      </c>
      <c r="I643">
        <v>2.4869272000000001E-2</v>
      </c>
      <c r="J643">
        <v>0</v>
      </c>
      <c r="K643">
        <v>0</v>
      </c>
      <c r="L643">
        <v>-1</v>
      </c>
      <c r="M643">
        <v>5</v>
      </c>
      <c r="N643">
        <v>1.6009385009999999</v>
      </c>
      <c r="O643">
        <v>13</v>
      </c>
      <c r="P643">
        <v>-5</v>
      </c>
      <c r="Q643">
        <v>18</v>
      </c>
      <c r="R643">
        <v>-7787</v>
      </c>
      <c r="S643">
        <v>4480</v>
      </c>
      <c r="T643">
        <v>-65</v>
      </c>
      <c r="U643">
        <v>40</v>
      </c>
      <c r="V643" t="s">
        <v>35</v>
      </c>
      <c r="W643">
        <v>-7787</v>
      </c>
      <c r="X643">
        <v>4480</v>
      </c>
      <c r="Y643">
        <v>-25</v>
      </c>
      <c r="Z643">
        <v>2.4869272000000001E-2</v>
      </c>
      <c r="AA643">
        <v>12267</v>
      </c>
      <c r="AB643">
        <v>0</v>
      </c>
      <c r="AC643">
        <v>-25</v>
      </c>
      <c r="AD643">
        <v>-2.0379880000000001E-3</v>
      </c>
      <c r="AE643">
        <v>0</v>
      </c>
      <c r="AF643">
        <v>-25</v>
      </c>
      <c r="AG643">
        <v>0</v>
      </c>
      <c r="AH643">
        <f t="shared" ref="AH643:AH706" si="10">IF(AF643&lt;&gt;0,AF643/AA643,0)</f>
        <v>-2.0379880981495069E-3</v>
      </c>
    </row>
    <row r="644" spans="1:34" x14ac:dyDescent="0.25">
      <c r="A644" s="1">
        <v>44438</v>
      </c>
      <c r="B644">
        <v>605</v>
      </c>
      <c r="C644">
        <v>1.0016694E-2</v>
      </c>
      <c r="D644">
        <v>912</v>
      </c>
      <c r="E644">
        <v>1.7857142999999999E-2</v>
      </c>
      <c r="F644">
        <v>-7.8404479999999999E-3</v>
      </c>
      <c r="G644">
        <v>7.8404479999999999E-3</v>
      </c>
      <c r="H644">
        <v>5.8103449999999997E-3</v>
      </c>
      <c r="I644">
        <v>1.6175467999999998E-2</v>
      </c>
      <c r="J644">
        <v>0</v>
      </c>
      <c r="K644">
        <v>0</v>
      </c>
      <c r="L644">
        <v>0</v>
      </c>
      <c r="M644">
        <v>5</v>
      </c>
      <c r="N644">
        <v>2.6873671780000001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W644">
        <v>0</v>
      </c>
      <c r="X644">
        <v>0</v>
      </c>
      <c r="Y644">
        <v>0</v>
      </c>
      <c r="Z644">
        <v>1.6175467999999998E-2</v>
      </c>
      <c r="AA644">
        <v>0</v>
      </c>
      <c r="AB644" t="s">
        <v>33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f t="shared" si="10"/>
        <v>0</v>
      </c>
    </row>
    <row r="645" spans="1:34" x14ac:dyDescent="0.25">
      <c r="A645" s="1">
        <v>44439</v>
      </c>
      <c r="B645">
        <v>614</v>
      </c>
      <c r="C645">
        <v>1.4876033E-2</v>
      </c>
      <c r="D645">
        <v>901</v>
      </c>
      <c r="E645">
        <v>-1.2061404E-2</v>
      </c>
      <c r="F645">
        <v>2.6937437000000002E-2</v>
      </c>
      <c r="G645">
        <v>2.6937437000000002E-2</v>
      </c>
      <c r="H645">
        <v>5.6008109999999998E-3</v>
      </c>
      <c r="I645">
        <v>1.7133170999999999E-2</v>
      </c>
      <c r="J645">
        <v>1</v>
      </c>
      <c r="K645">
        <v>1</v>
      </c>
      <c r="L645">
        <v>1</v>
      </c>
      <c r="M645">
        <v>5</v>
      </c>
      <c r="N645">
        <v>1.1897812809999999</v>
      </c>
      <c r="O645">
        <v>-6</v>
      </c>
      <c r="P645">
        <v>5</v>
      </c>
      <c r="Q645">
        <v>11</v>
      </c>
      <c r="R645">
        <v>3684</v>
      </c>
      <c r="S645">
        <v>-4505</v>
      </c>
      <c r="T645">
        <v>0</v>
      </c>
      <c r="U645">
        <v>0</v>
      </c>
      <c r="V645" t="s">
        <v>34</v>
      </c>
      <c r="W645">
        <v>3684</v>
      </c>
      <c r="X645">
        <v>-4505</v>
      </c>
      <c r="Y645">
        <v>0</v>
      </c>
      <c r="Z645">
        <v>1.7133170999999999E-2</v>
      </c>
      <c r="AA645">
        <v>8189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8189</v>
      </c>
      <c r="AH645">
        <f t="shared" si="10"/>
        <v>0</v>
      </c>
    </row>
    <row r="646" spans="1:34" x14ac:dyDescent="0.25">
      <c r="A646" s="1">
        <v>44440</v>
      </c>
      <c r="B646">
        <v>613</v>
      </c>
      <c r="C646">
        <v>-1.6286639999999999E-3</v>
      </c>
      <c r="D646">
        <v>927</v>
      </c>
      <c r="E646">
        <v>2.8856825999999999E-2</v>
      </c>
      <c r="F646">
        <v>-3.0485490000000001E-2</v>
      </c>
      <c r="G646">
        <v>3.0485490000000001E-2</v>
      </c>
      <c r="H646">
        <v>6.869839E-3</v>
      </c>
      <c r="I646">
        <v>2.2067080999999999E-2</v>
      </c>
      <c r="J646">
        <v>0</v>
      </c>
      <c r="K646">
        <v>0</v>
      </c>
      <c r="L646">
        <v>-1</v>
      </c>
      <c r="M646">
        <v>5</v>
      </c>
      <c r="N646">
        <v>26.793915770000002</v>
      </c>
      <c r="O646">
        <v>6</v>
      </c>
      <c r="P646">
        <v>-5</v>
      </c>
      <c r="Q646">
        <v>11</v>
      </c>
      <c r="R646">
        <v>-3678</v>
      </c>
      <c r="S646">
        <v>4635</v>
      </c>
      <c r="T646">
        <v>6</v>
      </c>
      <c r="U646">
        <v>130</v>
      </c>
      <c r="V646" t="s">
        <v>35</v>
      </c>
      <c r="W646">
        <v>-3678</v>
      </c>
      <c r="X646">
        <v>4635</v>
      </c>
      <c r="Y646">
        <v>136</v>
      </c>
      <c r="Z646">
        <v>2.2067080999999999E-2</v>
      </c>
      <c r="AA646">
        <v>8313</v>
      </c>
      <c r="AB646">
        <v>0</v>
      </c>
      <c r="AC646">
        <v>136</v>
      </c>
      <c r="AD646">
        <v>1.6359918000000001E-2</v>
      </c>
      <c r="AE646">
        <v>0</v>
      </c>
      <c r="AF646">
        <v>136</v>
      </c>
      <c r="AG646">
        <v>0</v>
      </c>
      <c r="AH646">
        <f t="shared" si="10"/>
        <v>1.6359918200408999E-2</v>
      </c>
    </row>
    <row r="647" spans="1:34" x14ac:dyDescent="0.25">
      <c r="A647" s="1">
        <v>44441</v>
      </c>
      <c r="B647">
        <v>607</v>
      </c>
      <c r="C647">
        <v>-9.7879279999999996E-3</v>
      </c>
      <c r="D647">
        <v>933</v>
      </c>
      <c r="E647">
        <v>6.4724919999999998E-3</v>
      </c>
      <c r="F647">
        <v>-1.6260420000000001E-2</v>
      </c>
      <c r="G647">
        <v>1.6260420000000001E-2</v>
      </c>
      <c r="H647">
        <v>9.9382440000000006E-3</v>
      </c>
      <c r="I647">
        <v>1.5144652E-2</v>
      </c>
      <c r="J647">
        <v>0</v>
      </c>
      <c r="K647">
        <v>1</v>
      </c>
      <c r="L647">
        <v>1</v>
      </c>
      <c r="M647">
        <v>5</v>
      </c>
      <c r="N647">
        <v>1.0164211489999999</v>
      </c>
      <c r="O647">
        <v>6</v>
      </c>
      <c r="P647">
        <v>-5</v>
      </c>
      <c r="Q647">
        <v>11</v>
      </c>
      <c r="R647">
        <v>-3642</v>
      </c>
      <c r="S647">
        <v>4665</v>
      </c>
      <c r="T647">
        <v>0</v>
      </c>
      <c r="U647">
        <v>0</v>
      </c>
      <c r="V647" t="s">
        <v>34</v>
      </c>
      <c r="W647">
        <v>-3642</v>
      </c>
      <c r="X647">
        <v>4665</v>
      </c>
      <c r="Y647">
        <v>0</v>
      </c>
      <c r="Z647">
        <v>1.5144652E-2</v>
      </c>
      <c r="AA647">
        <v>8307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8307</v>
      </c>
      <c r="AH647">
        <f t="shared" si="10"/>
        <v>0</v>
      </c>
    </row>
    <row r="648" spans="1:34" x14ac:dyDescent="0.25">
      <c r="A648" s="1">
        <v>44442</v>
      </c>
      <c r="B648">
        <v>620</v>
      </c>
      <c r="C648">
        <v>2.1416804000000001E-2</v>
      </c>
      <c r="D648">
        <v>919</v>
      </c>
      <c r="E648">
        <v>-1.5005358999999999E-2</v>
      </c>
      <c r="F648">
        <v>3.6422163E-2</v>
      </c>
      <c r="G648">
        <v>3.6422163E-2</v>
      </c>
      <c r="H648">
        <v>1.2602209E-2</v>
      </c>
      <c r="I648">
        <v>1.8892310999999998E-2</v>
      </c>
      <c r="J648">
        <v>1</v>
      </c>
      <c r="K648">
        <v>0</v>
      </c>
      <c r="L648">
        <v>-1</v>
      </c>
      <c r="M648">
        <v>5</v>
      </c>
      <c r="N648">
        <v>1.0385216450000001</v>
      </c>
      <c r="O648">
        <v>-6</v>
      </c>
      <c r="P648">
        <v>5</v>
      </c>
      <c r="Q648">
        <v>11</v>
      </c>
      <c r="R648">
        <v>3720</v>
      </c>
      <c r="S648">
        <v>-4595</v>
      </c>
      <c r="T648">
        <v>78</v>
      </c>
      <c r="U648">
        <v>70</v>
      </c>
      <c r="V648" t="s">
        <v>35</v>
      </c>
      <c r="W648">
        <v>3720</v>
      </c>
      <c r="X648">
        <v>-4595</v>
      </c>
      <c r="Y648">
        <v>148</v>
      </c>
      <c r="Z648">
        <v>1.8892310999999998E-2</v>
      </c>
      <c r="AA648">
        <v>8315</v>
      </c>
      <c r="AB648">
        <v>0</v>
      </c>
      <c r="AC648">
        <v>148</v>
      </c>
      <c r="AD648">
        <v>1.7799157999999999E-2</v>
      </c>
      <c r="AE648">
        <v>0</v>
      </c>
      <c r="AF648">
        <v>148</v>
      </c>
      <c r="AG648">
        <v>0</v>
      </c>
      <c r="AH648">
        <f t="shared" si="10"/>
        <v>1.7799158147925435E-2</v>
      </c>
    </row>
    <row r="649" spans="1:34" x14ac:dyDescent="0.25">
      <c r="A649" s="1">
        <v>44445</v>
      </c>
      <c r="B649">
        <v>631</v>
      </c>
      <c r="C649">
        <v>1.7741935E-2</v>
      </c>
      <c r="D649">
        <v>896</v>
      </c>
      <c r="E649">
        <v>-2.5027203000000001E-2</v>
      </c>
      <c r="F649">
        <v>4.2769138999999998E-2</v>
      </c>
      <c r="G649">
        <v>4.2769138999999998E-2</v>
      </c>
      <c r="H649">
        <v>1.350876E-2</v>
      </c>
      <c r="I649">
        <v>2.1303743999999999E-2</v>
      </c>
      <c r="J649">
        <v>1</v>
      </c>
      <c r="K649">
        <v>1</v>
      </c>
      <c r="L649">
        <v>1</v>
      </c>
      <c r="M649">
        <v>5</v>
      </c>
      <c r="N649">
        <v>2.003041648</v>
      </c>
      <c r="O649">
        <v>-11</v>
      </c>
      <c r="P649">
        <v>5</v>
      </c>
      <c r="Q649">
        <v>16</v>
      </c>
      <c r="R649">
        <v>6941</v>
      </c>
      <c r="S649">
        <v>-4480</v>
      </c>
      <c r="T649">
        <v>0</v>
      </c>
      <c r="U649">
        <v>0</v>
      </c>
      <c r="V649" t="s">
        <v>34</v>
      </c>
      <c r="W649">
        <v>6941</v>
      </c>
      <c r="X649">
        <v>-4480</v>
      </c>
      <c r="Y649">
        <v>0</v>
      </c>
      <c r="Z649">
        <v>2.1303743999999999E-2</v>
      </c>
      <c r="AA649">
        <v>11421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11421</v>
      </c>
      <c r="AH649">
        <f t="shared" si="10"/>
        <v>0</v>
      </c>
    </row>
    <row r="650" spans="1:34" x14ac:dyDescent="0.25">
      <c r="A650" s="1">
        <v>44446</v>
      </c>
      <c r="B650">
        <v>623</v>
      </c>
      <c r="C650">
        <v>-1.2678287999999999E-2</v>
      </c>
      <c r="D650">
        <v>903</v>
      </c>
      <c r="E650">
        <v>7.8125E-3</v>
      </c>
      <c r="F650">
        <v>-2.0490787999999999E-2</v>
      </c>
      <c r="G650">
        <v>2.0490787999999999E-2</v>
      </c>
      <c r="H650">
        <v>1.5710401999999998E-2</v>
      </c>
      <c r="I650">
        <v>2.1126008000000002E-2</v>
      </c>
      <c r="J650">
        <v>0</v>
      </c>
      <c r="K650">
        <v>0</v>
      </c>
      <c r="L650">
        <v>-1</v>
      </c>
      <c r="M650">
        <v>5</v>
      </c>
      <c r="N650">
        <v>0.89315967299999999</v>
      </c>
      <c r="O650">
        <v>11</v>
      </c>
      <c r="P650">
        <v>-5</v>
      </c>
      <c r="Q650">
        <v>16</v>
      </c>
      <c r="R650">
        <v>-6853</v>
      </c>
      <c r="S650">
        <v>4515</v>
      </c>
      <c r="T650">
        <v>88</v>
      </c>
      <c r="U650">
        <v>35</v>
      </c>
      <c r="V650" t="s">
        <v>35</v>
      </c>
      <c r="W650">
        <v>-6853</v>
      </c>
      <c r="X650">
        <v>4515</v>
      </c>
      <c r="Y650">
        <v>123</v>
      </c>
      <c r="Z650">
        <v>2.1126008000000002E-2</v>
      </c>
      <c r="AA650">
        <v>11368</v>
      </c>
      <c r="AB650">
        <v>0</v>
      </c>
      <c r="AC650">
        <v>123</v>
      </c>
      <c r="AD650">
        <v>1.0819845E-2</v>
      </c>
      <c r="AE650">
        <v>0</v>
      </c>
      <c r="AF650">
        <v>123</v>
      </c>
      <c r="AG650">
        <v>0</v>
      </c>
      <c r="AH650">
        <f t="shared" si="10"/>
        <v>1.0819845179451091E-2</v>
      </c>
    </row>
    <row r="651" spans="1:34" x14ac:dyDescent="0.25">
      <c r="A651" s="1">
        <v>44447</v>
      </c>
      <c r="B651">
        <v>619</v>
      </c>
      <c r="C651">
        <v>-6.4205460000000001E-3</v>
      </c>
      <c r="D651">
        <v>912</v>
      </c>
      <c r="E651">
        <v>9.9667769999999996E-3</v>
      </c>
      <c r="F651">
        <v>-1.6387322999999999E-2</v>
      </c>
      <c r="G651">
        <v>1.6387322999999999E-2</v>
      </c>
      <c r="H651">
        <v>1.6202769999999998E-2</v>
      </c>
      <c r="I651">
        <v>1.5842821999999999E-2</v>
      </c>
      <c r="J651">
        <v>0</v>
      </c>
      <c r="K651">
        <v>1</v>
      </c>
      <c r="L651">
        <v>1</v>
      </c>
      <c r="M651">
        <v>5</v>
      </c>
      <c r="N651">
        <v>2.2871097420000002</v>
      </c>
      <c r="O651">
        <v>12</v>
      </c>
      <c r="P651">
        <v>-5</v>
      </c>
      <c r="Q651">
        <v>17</v>
      </c>
      <c r="R651">
        <v>-7428</v>
      </c>
      <c r="S651">
        <v>4560</v>
      </c>
      <c r="T651">
        <v>0</v>
      </c>
      <c r="U651">
        <v>0</v>
      </c>
      <c r="V651" t="s">
        <v>34</v>
      </c>
      <c r="W651">
        <v>-7428</v>
      </c>
      <c r="X651">
        <v>4560</v>
      </c>
      <c r="Y651">
        <v>0</v>
      </c>
      <c r="Z651">
        <v>1.6202769999999998E-2</v>
      </c>
      <c r="AA651">
        <v>11988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11988</v>
      </c>
      <c r="AH651">
        <f t="shared" si="10"/>
        <v>0</v>
      </c>
    </row>
    <row r="652" spans="1:34" x14ac:dyDescent="0.25">
      <c r="A652" s="1">
        <v>44448</v>
      </c>
      <c r="B652">
        <v>619</v>
      </c>
      <c r="C652">
        <v>0</v>
      </c>
      <c r="D652">
        <v>901</v>
      </c>
      <c r="E652">
        <v>-1.2061404E-2</v>
      </c>
      <c r="F652">
        <v>1.2061404E-2</v>
      </c>
      <c r="G652">
        <v>1.2061404E-2</v>
      </c>
      <c r="H652">
        <v>1.4957758999999999E-2</v>
      </c>
      <c r="I652">
        <v>1.5181168E-2</v>
      </c>
      <c r="J652">
        <v>1</v>
      </c>
      <c r="K652">
        <v>0</v>
      </c>
      <c r="L652">
        <v>-1</v>
      </c>
      <c r="M652">
        <v>5</v>
      </c>
      <c r="N652" t="s">
        <v>36</v>
      </c>
      <c r="O652">
        <v>-12</v>
      </c>
      <c r="P652">
        <v>5</v>
      </c>
      <c r="Q652">
        <v>17</v>
      </c>
      <c r="R652">
        <v>7428</v>
      </c>
      <c r="S652">
        <v>-4505</v>
      </c>
      <c r="T652">
        <v>0</v>
      </c>
      <c r="U652">
        <v>55</v>
      </c>
      <c r="V652" t="s">
        <v>35</v>
      </c>
      <c r="W652">
        <v>7428</v>
      </c>
      <c r="X652">
        <v>-4505</v>
      </c>
      <c r="Y652">
        <v>55</v>
      </c>
      <c r="Z652">
        <v>1.5181168E-2</v>
      </c>
      <c r="AA652">
        <v>11933</v>
      </c>
      <c r="AB652">
        <v>0</v>
      </c>
      <c r="AC652">
        <v>55</v>
      </c>
      <c r="AD652">
        <v>4.6090669999999997E-3</v>
      </c>
      <c r="AE652">
        <v>0</v>
      </c>
      <c r="AF652">
        <v>55</v>
      </c>
      <c r="AG652">
        <v>0</v>
      </c>
      <c r="AH652">
        <f t="shared" si="10"/>
        <v>4.6090672923824686E-3</v>
      </c>
    </row>
    <row r="653" spans="1:34" x14ac:dyDescent="0.25">
      <c r="A653" s="1">
        <v>44449</v>
      </c>
      <c r="B653">
        <v>622</v>
      </c>
      <c r="C653">
        <v>4.8465269999999998E-3</v>
      </c>
      <c r="D653">
        <v>925</v>
      </c>
      <c r="E653">
        <v>2.6637069999999999E-2</v>
      </c>
      <c r="F653">
        <v>-2.1790542999999999E-2</v>
      </c>
      <c r="G653">
        <v>2.1790542999999999E-2</v>
      </c>
      <c r="H653">
        <v>1.1595171E-2</v>
      </c>
      <c r="I653">
        <v>2.0192847999999999E-2</v>
      </c>
      <c r="J653">
        <v>0</v>
      </c>
      <c r="K653">
        <v>1</v>
      </c>
      <c r="L653">
        <v>1</v>
      </c>
      <c r="M653">
        <v>5</v>
      </c>
      <c r="N653">
        <v>8.1734835530000005</v>
      </c>
      <c r="O653">
        <v>41</v>
      </c>
      <c r="P653">
        <v>-5</v>
      </c>
      <c r="Q653">
        <v>46</v>
      </c>
      <c r="R653">
        <v>-25502</v>
      </c>
      <c r="S653">
        <v>4625</v>
      </c>
      <c r="T653">
        <v>0</v>
      </c>
      <c r="U653">
        <v>0</v>
      </c>
      <c r="V653" t="s">
        <v>34</v>
      </c>
      <c r="W653">
        <v>-25502</v>
      </c>
      <c r="X653">
        <v>4625</v>
      </c>
      <c r="Y653">
        <v>0</v>
      </c>
      <c r="Z653">
        <v>2.0192847999999999E-2</v>
      </c>
      <c r="AA653">
        <v>30127</v>
      </c>
      <c r="AB653">
        <v>0.01</v>
      </c>
      <c r="AC653">
        <v>0</v>
      </c>
      <c r="AD653">
        <v>0</v>
      </c>
      <c r="AE653">
        <v>0</v>
      </c>
      <c r="AF653">
        <v>0</v>
      </c>
      <c r="AG653">
        <v>30127</v>
      </c>
      <c r="AH653">
        <f t="shared" si="10"/>
        <v>0</v>
      </c>
    </row>
    <row r="654" spans="1:34" x14ac:dyDescent="0.25">
      <c r="A654" s="1">
        <v>44452</v>
      </c>
      <c r="B654">
        <v>615</v>
      </c>
      <c r="C654">
        <v>-1.1254019000000001E-2</v>
      </c>
      <c r="D654">
        <v>927</v>
      </c>
      <c r="E654">
        <v>2.162162E-3</v>
      </c>
      <c r="F654">
        <v>-1.3416180999999999E-2</v>
      </c>
      <c r="G654">
        <v>1.3416180999999999E-2</v>
      </c>
      <c r="H654">
        <v>7.4496579999999996E-3</v>
      </c>
      <c r="I654">
        <v>1.3980088999999999E-2</v>
      </c>
      <c r="J654">
        <v>0</v>
      </c>
      <c r="K654">
        <v>1</v>
      </c>
      <c r="L654">
        <v>0</v>
      </c>
      <c r="M654">
        <v>5</v>
      </c>
      <c r="N654">
        <v>0.28959110999999998</v>
      </c>
      <c r="O654">
        <v>-41</v>
      </c>
      <c r="P654">
        <v>5</v>
      </c>
      <c r="Q654">
        <v>46</v>
      </c>
      <c r="R654">
        <v>25215</v>
      </c>
      <c r="S654">
        <v>-4635</v>
      </c>
      <c r="T654">
        <v>-287</v>
      </c>
      <c r="U654">
        <v>-10</v>
      </c>
      <c r="V654" t="s">
        <v>37</v>
      </c>
      <c r="W654">
        <v>0</v>
      </c>
      <c r="X654">
        <v>0</v>
      </c>
      <c r="Y654">
        <v>0</v>
      </c>
      <c r="Z654">
        <v>1.3980088999999999E-2</v>
      </c>
      <c r="AA654">
        <v>29850</v>
      </c>
      <c r="AB654">
        <v>0.01</v>
      </c>
      <c r="AC654">
        <v>-297</v>
      </c>
      <c r="AD654">
        <v>-9.9497490000000008E-3</v>
      </c>
      <c r="AE654">
        <v>0</v>
      </c>
      <c r="AF654">
        <v>0</v>
      </c>
      <c r="AG654">
        <v>0</v>
      </c>
      <c r="AH654">
        <f t="shared" si="10"/>
        <v>0</v>
      </c>
    </row>
    <row r="655" spans="1:34" x14ac:dyDescent="0.25">
      <c r="A655" s="1">
        <v>44453</v>
      </c>
      <c r="B655">
        <v>613</v>
      </c>
      <c r="C655">
        <v>-3.2520330000000001E-3</v>
      </c>
      <c r="D655">
        <v>947</v>
      </c>
      <c r="E655">
        <v>2.1574973000000001E-2</v>
      </c>
      <c r="F655">
        <v>-2.4827005999999999E-2</v>
      </c>
      <c r="G655">
        <v>2.4827005999999999E-2</v>
      </c>
      <c r="H655">
        <v>6.1283589999999999E-3</v>
      </c>
      <c r="I655">
        <v>1.547836E-2</v>
      </c>
      <c r="J655">
        <v>0</v>
      </c>
      <c r="K655">
        <v>1</v>
      </c>
      <c r="L655">
        <v>0</v>
      </c>
      <c r="M655">
        <v>5</v>
      </c>
      <c r="N655">
        <v>10.24908007</v>
      </c>
      <c r="O655">
        <v>-41</v>
      </c>
      <c r="P655">
        <v>5</v>
      </c>
      <c r="Q655">
        <v>46</v>
      </c>
      <c r="R655">
        <v>25133</v>
      </c>
      <c r="S655">
        <v>-4735</v>
      </c>
      <c r="T655">
        <v>-369</v>
      </c>
      <c r="U655">
        <v>-110</v>
      </c>
      <c r="V655" t="s">
        <v>37</v>
      </c>
      <c r="W655">
        <v>0</v>
      </c>
      <c r="X655">
        <v>0</v>
      </c>
      <c r="Y655">
        <v>0</v>
      </c>
      <c r="Z655">
        <v>1.547836E-2</v>
      </c>
      <c r="AA655">
        <v>29868</v>
      </c>
      <c r="AB655">
        <v>0.01</v>
      </c>
      <c r="AC655">
        <v>-479</v>
      </c>
      <c r="AD655">
        <v>-1.603723E-2</v>
      </c>
      <c r="AE655">
        <v>1</v>
      </c>
      <c r="AF655">
        <v>-479</v>
      </c>
      <c r="AG655">
        <v>0</v>
      </c>
      <c r="AH655">
        <f t="shared" si="10"/>
        <v>-1.6037230480782108E-2</v>
      </c>
    </row>
    <row r="656" spans="1:34" x14ac:dyDescent="0.25">
      <c r="A656" s="1">
        <v>44454</v>
      </c>
      <c r="B656">
        <v>607</v>
      </c>
      <c r="C656">
        <v>-9.7879279999999996E-3</v>
      </c>
      <c r="D656">
        <v>935</v>
      </c>
      <c r="E656">
        <v>-1.2671595000000001E-2</v>
      </c>
      <c r="F656">
        <v>2.883666E-3</v>
      </c>
      <c r="G656">
        <v>2.883666E-3</v>
      </c>
      <c r="H656">
        <v>6.7245880000000001E-3</v>
      </c>
      <c r="I656">
        <v>1.8400001999999999E-2</v>
      </c>
      <c r="J656">
        <v>1</v>
      </c>
      <c r="K656">
        <v>0</v>
      </c>
      <c r="L656">
        <v>-1</v>
      </c>
      <c r="M656">
        <v>5</v>
      </c>
      <c r="N656">
        <v>1.9941756589999999</v>
      </c>
      <c r="O656">
        <v>-41</v>
      </c>
      <c r="P656">
        <v>5</v>
      </c>
      <c r="Q656">
        <v>46</v>
      </c>
      <c r="R656">
        <v>24887</v>
      </c>
      <c r="S656">
        <v>-4675</v>
      </c>
      <c r="T656">
        <v>-615</v>
      </c>
      <c r="U656">
        <v>-50</v>
      </c>
      <c r="V656" t="s">
        <v>35</v>
      </c>
      <c r="W656">
        <v>24887</v>
      </c>
      <c r="X656">
        <v>-4675</v>
      </c>
      <c r="Y656">
        <v>-665</v>
      </c>
      <c r="Z656">
        <v>1.8400001999999999E-2</v>
      </c>
      <c r="AA656">
        <v>29562</v>
      </c>
      <c r="AB656">
        <v>0.01</v>
      </c>
      <c r="AC656">
        <v>-665</v>
      </c>
      <c r="AD656">
        <v>-2.2495095E-2</v>
      </c>
      <c r="AE656">
        <v>1</v>
      </c>
      <c r="AF656">
        <v>0</v>
      </c>
      <c r="AG656">
        <v>0</v>
      </c>
      <c r="AH656">
        <f t="shared" si="10"/>
        <v>0</v>
      </c>
    </row>
    <row r="657" spans="1:34" x14ac:dyDescent="0.25">
      <c r="A657" s="1">
        <v>44455</v>
      </c>
      <c r="B657">
        <v>600</v>
      </c>
      <c r="C657">
        <v>-1.1532125000000001E-2</v>
      </c>
      <c r="D657">
        <v>936</v>
      </c>
      <c r="E657">
        <v>1.0695189999999999E-3</v>
      </c>
      <c r="F657">
        <v>-1.2601644E-2</v>
      </c>
      <c r="G657">
        <v>1.2601644E-2</v>
      </c>
      <c r="H657">
        <v>7.0278739999999999E-3</v>
      </c>
      <c r="I657">
        <v>1.6130294E-2</v>
      </c>
      <c r="J657">
        <v>0</v>
      </c>
      <c r="K657">
        <v>0</v>
      </c>
      <c r="L657">
        <v>0</v>
      </c>
      <c r="M657">
        <v>5</v>
      </c>
      <c r="N657">
        <v>0.14467838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W657">
        <v>0</v>
      </c>
      <c r="X657">
        <v>0</v>
      </c>
      <c r="Y657">
        <v>0</v>
      </c>
      <c r="Z657">
        <v>1.6130294E-2</v>
      </c>
      <c r="AA657">
        <v>0</v>
      </c>
      <c r="AB657" t="s">
        <v>33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f t="shared" si="10"/>
        <v>0</v>
      </c>
    </row>
    <row r="658" spans="1:34" x14ac:dyDescent="0.25">
      <c r="A658" s="1">
        <v>44456</v>
      </c>
      <c r="B658">
        <v>600</v>
      </c>
      <c r="C658">
        <v>0</v>
      </c>
      <c r="D658">
        <v>940</v>
      </c>
      <c r="E658">
        <v>4.273504E-3</v>
      </c>
      <c r="F658">
        <v>-4.273504E-3</v>
      </c>
      <c r="G658">
        <v>4.273504E-3</v>
      </c>
      <c r="H658">
        <v>5.2278139999999999E-3</v>
      </c>
      <c r="I658">
        <v>1.2209444999999999E-2</v>
      </c>
      <c r="J658">
        <v>0</v>
      </c>
      <c r="K658">
        <v>0</v>
      </c>
      <c r="L658">
        <v>0</v>
      </c>
      <c r="M658">
        <v>5</v>
      </c>
      <c r="N658" t="s">
        <v>36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W658">
        <v>0</v>
      </c>
      <c r="X658">
        <v>0</v>
      </c>
      <c r="Y658">
        <v>0</v>
      </c>
      <c r="Z658">
        <v>1.2209444999999999E-2</v>
      </c>
      <c r="AA658">
        <v>0</v>
      </c>
      <c r="AB658" t="s">
        <v>33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f t="shared" si="10"/>
        <v>0</v>
      </c>
    </row>
    <row r="659" spans="1:34" x14ac:dyDescent="0.25">
      <c r="A659" s="1">
        <v>44461</v>
      </c>
      <c r="B659">
        <v>586</v>
      </c>
      <c r="C659">
        <v>-2.3333333000000001E-2</v>
      </c>
      <c r="D659">
        <v>911</v>
      </c>
      <c r="E659">
        <v>-3.0851064000000001E-2</v>
      </c>
      <c r="F659">
        <v>7.5177300000000002E-3</v>
      </c>
      <c r="G659">
        <v>7.5177300000000002E-3</v>
      </c>
      <c r="H659">
        <v>9.0114889999999993E-3</v>
      </c>
      <c r="I659">
        <v>1.9634795E-2</v>
      </c>
      <c r="J659">
        <v>1</v>
      </c>
      <c r="K659">
        <v>0</v>
      </c>
      <c r="L659">
        <v>0</v>
      </c>
      <c r="M659">
        <v>5</v>
      </c>
      <c r="N659">
        <v>2.0554840919999999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W659">
        <v>0</v>
      </c>
      <c r="X659">
        <v>0</v>
      </c>
      <c r="Y659">
        <v>0</v>
      </c>
      <c r="Z659">
        <v>1.9634795E-2</v>
      </c>
      <c r="AA659">
        <v>0</v>
      </c>
      <c r="AB659" t="s">
        <v>33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f t="shared" si="10"/>
        <v>0</v>
      </c>
    </row>
    <row r="660" spans="1:34" x14ac:dyDescent="0.25">
      <c r="A660" s="1">
        <v>44462</v>
      </c>
      <c r="B660">
        <v>588</v>
      </c>
      <c r="C660">
        <v>3.4129690000000001E-3</v>
      </c>
      <c r="D660">
        <v>915</v>
      </c>
      <c r="E660">
        <v>4.390779E-3</v>
      </c>
      <c r="F660">
        <v>-9.7780999999999996E-4</v>
      </c>
      <c r="G660">
        <v>9.7780999999999996E-4</v>
      </c>
      <c r="H660">
        <v>1.0544332999999999E-2</v>
      </c>
      <c r="I660">
        <v>1.5188036E-2</v>
      </c>
      <c r="J660">
        <v>0</v>
      </c>
      <c r="K660">
        <v>0</v>
      </c>
      <c r="L660">
        <v>0</v>
      </c>
      <c r="M660">
        <v>5</v>
      </c>
      <c r="N660">
        <v>2.0019489680000002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W660">
        <v>0</v>
      </c>
      <c r="X660">
        <v>0</v>
      </c>
      <c r="Y660">
        <v>0</v>
      </c>
      <c r="Z660">
        <v>1.5188036E-2</v>
      </c>
      <c r="AA660">
        <v>0</v>
      </c>
      <c r="AB660" t="s">
        <v>33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f t="shared" si="10"/>
        <v>0</v>
      </c>
    </row>
    <row r="661" spans="1:34" x14ac:dyDescent="0.25">
      <c r="A661" s="1">
        <v>44463</v>
      </c>
      <c r="B661">
        <v>598</v>
      </c>
      <c r="C661">
        <v>1.7006803000000001E-2</v>
      </c>
      <c r="D661">
        <v>920</v>
      </c>
      <c r="E661">
        <v>5.4644810000000002E-3</v>
      </c>
      <c r="F661">
        <v>1.1542322000000001E-2</v>
      </c>
      <c r="G661">
        <v>1.1542322000000001E-2</v>
      </c>
      <c r="H661">
        <v>1.5301785E-2</v>
      </c>
      <c r="I661">
        <v>1.5583102999999999E-2</v>
      </c>
      <c r="J661">
        <v>1</v>
      </c>
      <c r="K661">
        <v>0</v>
      </c>
      <c r="L661">
        <v>0</v>
      </c>
      <c r="M661">
        <v>5</v>
      </c>
      <c r="N661">
        <v>0.49432534700000003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W661">
        <v>0</v>
      </c>
      <c r="X661">
        <v>0</v>
      </c>
      <c r="Y661">
        <v>0</v>
      </c>
      <c r="Z661">
        <v>1.5583102999999999E-2</v>
      </c>
      <c r="AA661">
        <v>0</v>
      </c>
      <c r="AB661" t="s">
        <v>33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f t="shared" si="10"/>
        <v>0</v>
      </c>
    </row>
    <row r="662" spans="1:34" x14ac:dyDescent="0.25">
      <c r="A662" s="1">
        <v>44466</v>
      </c>
      <c r="B662">
        <v>602</v>
      </c>
      <c r="C662">
        <v>6.688963E-3</v>
      </c>
      <c r="D662">
        <v>959</v>
      </c>
      <c r="E662">
        <v>4.2391303999999998E-2</v>
      </c>
      <c r="F662">
        <v>-3.5702340999999999E-2</v>
      </c>
      <c r="G662">
        <v>3.5702340999999999E-2</v>
      </c>
      <c r="H662">
        <v>1.4893083E-2</v>
      </c>
      <c r="I662">
        <v>2.590576E-2</v>
      </c>
      <c r="J662">
        <v>0</v>
      </c>
      <c r="K662">
        <v>1</v>
      </c>
      <c r="L662">
        <v>1</v>
      </c>
      <c r="M662">
        <v>5</v>
      </c>
      <c r="N662">
        <v>10.09578488</v>
      </c>
      <c r="O662">
        <v>51</v>
      </c>
      <c r="P662">
        <v>-5</v>
      </c>
      <c r="Q662">
        <v>56</v>
      </c>
      <c r="R662">
        <v>-30702</v>
      </c>
      <c r="S662">
        <v>4795</v>
      </c>
      <c r="T662">
        <v>0</v>
      </c>
      <c r="U662">
        <v>0</v>
      </c>
      <c r="V662" t="s">
        <v>34</v>
      </c>
      <c r="W662">
        <v>-30702</v>
      </c>
      <c r="X662">
        <v>4795</v>
      </c>
      <c r="Y662">
        <v>0</v>
      </c>
      <c r="Z662">
        <v>2.590576E-2</v>
      </c>
      <c r="AA662">
        <v>35497</v>
      </c>
      <c r="AB662">
        <v>0.01</v>
      </c>
      <c r="AC662">
        <v>0</v>
      </c>
      <c r="AD662">
        <v>0</v>
      </c>
      <c r="AE662">
        <v>0</v>
      </c>
      <c r="AF662">
        <v>0</v>
      </c>
      <c r="AG662">
        <v>35497</v>
      </c>
      <c r="AH662">
        <f t="shared" si="10"/>
        <v>0</v>
      </c>
    </row>
    <row r="663" spans="1:34" x14ac:dyDescent="0.25">
      <c r="A663" s="1">
        <v>44467</v>
      </c>
      <c r="B663">
        <v>594</v>
      </c>
      <c r="C663">
        <v>-1.3289037E-2</v>
      </c>
      <c r="D663">
        <v>957</v>
      </c>
      <c r="E663">
        <v>-2.085506E-3</v>
      </c>
      <c r="F663">
        <v>-1.1203530999999999E-2</v>
      </c>
      <c r="G663">
        <v>1.1203530999999999E-2</v>
      </c>
      <c r="H663">
        <v>1.6190761000000001E-2</v>
      </c>
      <c r="I663">
        <v>2.6113811000000001E-2</v>
      </c>
      <c r="J663">
        <v>0</v>
      </c>
      <c r="K663">
        <v>1</v>
      </c>
      <c r="L663">
        <v>0</v>
      </c>
      <c r="M663">
        <v>5</v>
      </c>
      <c r="N663">
        <v>0.25283860499999999</v>
      </c>
      <c r="O663">
        <v>-51</v>
      </c>
      <c r="P663">
        <v>5</v>
      </c>
      <c r="Q663">
        <v>56</v>
      </c>
      <c r="R663">
        <v>30294</v>
      </c>
      <c r="S663">
        <v>-4785</v>
      </c>
      <c r="T663">
        <v>-408</v>
      </c>
      <c r="U663">
        <v>10</v>
      </c>
      <c r="V663" t="s">
        <v>37</v>
      </c>
      <c r="W663">
        <v>0</v>
      </c>
      <c r="X663">
        <v>0</v>
      </c>
      <c r="Y663">
        <v>0</v>
      </c>
      <c r="Z663">
        <v>2.6113811000000001E-2</v>
      </c>
      <c r="AA663">
        <v>35079</v>
      </c>
      <c r="AB663">
        <v>0.01</v>
      </c>
      <c r="AC663">
        <v>-398</v>
      </c>
      <c r="AD663">
        <v>-1.1345819E-2</v>
      </c>
      <c r="AE663">
        <v>0</v>
      </c>
      <c r="AF663">
        <v>0</v>
      </c>
      <c r="AG663">
        <v>0</v>
      </c>
      <c r="AH663">
        <f t="shared" si="10"/>
        <v>0</v>
      </c>
    </row>
    <row r="664" spans="1:34" x14ac:dyDescent="0.25">
      <c r="A664" s="1">
        <v>44468</v>
      </c>
      <c r="B664">
        <v>580</v>
      </c>
      <c r="C664">
        <v>-2.3569024000000001E-2</v>
      </c>
      <c r="D664">
        <v>913</v>
      </c>
      <c r="E664">
        <v>-4.5977010999999998E-2</v>
      </c>
      <c r="F664">
        <v>2.2407988E-2</v>
      </c>
      <c r="G664">
        <v>2.2407988E-2</v>
      </c>
      <c r="H664">
        <v>1.6268907999999999E-2</v>
      </c>
      <c r="I664">
        <v>3.1467823999999998E-2</v>
      </c>
      <c r="J664">
        <v>1</v>
      </c>
      <c r="K664">
        <v>0</v>
      </c>
      <c r="L664">
        <v>-1</v>
      </c>
      <c r="M664">
        <v>5</v>
      </c>
      <c r="N664">
        <v>3.0707321219999999</v>
      </c>
      <c r="O664">
        <v>-51</v>
      </c>
      <c r="P664">
        <v>5</v>
      </c>
      <c r="Q664">
        <v>56</v>
      </c>
      <c r="R664">
        <v>29580</v>
      </c>
      <c r="S664">
        <v>-4565</v>
      </c>
      <c r="T664">
        <v>-1122</v>
      </c>
      <c r="U664">
        <v>230</v>
      </c>
      <c r="V664" t="s">
        <v>35</v>
      </c>
      <c r="W664">
        <v>29580</v>
      </c>
      <c r="X664">
        <v>-4565</v>
      </c>
      <c r="Y664">
        <v>-892</v>
      </c>
      <c r="Z664">
        <v>3.1467823999999998E-2</v>
      </c>
      <c r="AA664">
        <v>34145</v>
      </c>
      <c r="AB664">
        <v>0.01</v>
      </c>
      <c r="AC664">
        <v>-892</v>
      </c>
      <c r="AD664">
        <v>-2.6123883000000001E-2</v>
      </c>
      <c r="AE664">
        <v>0</v>
      </c>
      <c r="AF664">
        <v>-892</v>
      </c>
      <c r="AG664">
        <v>0</v>
      </c>
      <c r="AH664">
        <f t="shared" si="10"/>
        <v>-2.6123883438277932E-2</v>
      </c>
    </row>
    <row r="665" spans="1:34" x14ac:dyDescent="0.25">
      <c r="A665" s="1">
        <v>44469</v>
      </c>
      <c r="B665">
        <v>580</v>
      </c>
      <c r="C665">
        <v>0</v>
      </c>
      <c r="D665">
        <v>905</v>
      </c>
      <c r="E665">
        <v>-8.7623219999999995E-3</v>
      </c>
      <c r="F665">
        <v>8.7623219999999995E-3</v>
      </c>
      <c r="G665">
        <v>8.7623219999999995E-3</v>
      </c>
      <c r="H665">
        <v>1.6057878000000001E-2</v>
      </c>
      <c r="I665">
        <v>3.1645725E-2</v>
      </c>
      <c r="J665">
        <v>1</v>
      </c>
      <c r="K665">
        <v>0</v>
      </c>
      <c r="L665">
        <v>0</v>
      </c>
      <c r="M665">
        <v>5</v>
      </c>
      <c r="N665" t="s">
        <v>36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W665">
        <v>0</v>
      </c>
      <c r="X665">
        <v>0</v>
      </c>
      <c r="Y665">
        <v>0</v>
      </c>
      <c r="Z665">
        <v>3.1645725E-2</v>
      </c>
      <c r="AA665">
        <v>0</v>
      </c>
      <c r="AB665" t="s">
        <v>33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f t="shared" si="10"/>
        <v>0</v>
      </c>
    </row>
    <row r="666" spans="1:34" x14ac:dyDescent="0.25">
      <c r="A666" s="1">
        <v>44470</v>
      </c>
      <c r="B666">
        <v>574</v>
      </c>
      <c r="C666">
        <v>-1.0344828E-2</v>
      </c>
      <c r="D666">
        <v>885</v>
      </c>
      <c r="E666">
        <v>-2.2099448000000001E-2</v>
      </c>
      <c r="F666">
        <v>1.175462E-2</v>
      </c>
      <c r="G666">
        <v>1.175462E-2</v>
      </c>
      <c r="H666">
        <v>1.1785366E-2</v>
      </c>
      <c r="I666">
        <v>3.2455698999999998E-2</v>
      </c>
      <c r="J666">
        <v>1</v>
      </c>
      <c r="K666">
        <v>0</v>
      </c>
      <c r="L666">
        <v>0</v>
      </c>
      <c r="M666">
        <v>5</v>
      </c>
      <c r="N666">
        <v>3.2937416979999998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W666">
        <v>0</v>
      </c>
      <c r="X666">
        <v>0</v>
      </c>
      <c r="Y666">
        <v>0</v>
      </c>
      <c r="Z666">
        <v>3.2455698999999998E-2</v>
      </c>
      <c r="AA666">
        <v>0</v>
      </c>
      <c r="AB666" t="s">
        <v>33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f t="shared" si="10"/>
        <v>0</v>
      </c>
    </row>
    <row r="667" spans="1:34" x14ac:dyDescent="0.25">
      <c r="A667" s="1">
        <v>44473</v>
      </c>
      <c r="B667">
        <v>572</v>
      </c>
      <c r="C667">
        <v>-3.4843209999999999E-3</v>
      </c>
      <c r="D667">
        <v>892</v>
      </c>
      <c r="E667">
        <v>7.9096050000000001E-3</v>
      </c>
      <c r="F667">
        <v>-1.1393924999999999E-2</v>
      </c>
      <c r="G667">
        <v>1.1393924999999999E-2</v>
      </c>
      <c r="H667">
        <v>9.1844260000000007E-3</v>
      </c>
      <c r="I667">
        <v>2.0840727E-2</v>
      </c>
      <c r="J667">
        <v>0</v>
      </c>
      <c r="K667">
        <v>0</v>
      </c>
      <c r="L667">
        <v>0</v>
      </c>
      <c r="M667">
        <v>5</v>
      </c>
      <c r="N667">
        <v>3.5400181740000001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W667">
        <v>0</v>
      </c>
      <c r="X667">
        <v>0</v>
      </c>
      <c r="Y667">
        <v>0</v>
      </c>
      <c r="Z667">
        <v>2.0840727E-2</v>
      </c>
      <c r="AA667">
        <v>0</v>
      </c>
      <c r="AB667" t="s">
        <v>33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f t="shared" si="10"/>
        <v>0</v>
      </c>
    </row>
    <row r="668" spans="1:34" x14ac:dyDescent="0.25">
      <c r="A668" s="1">
        <v>44474</v>
      </c>
      <c r="B668">
        <v>572</v>
      </c>
      <c r="C668">
        <v>0</v>
      </c>
      <c r="D668">
        <v>867</v>
      </c>
      <c r="E668">
        <v>-2.8026906000000001E-2</v>
      </c>
      <c r="F668">
        <v>2.8026906000000001E-2</v>
      </c>
      <c r="G668">
        <v>2.8026906000000001E-2</v>
      </c>
      <c r="H668">
        <v>9.9364250000000005E-3</v>
      </c>
      <c r="I668">
        <v>2.0291762000000001E-2</v>
      </c>
      <c r="J668">
        <v>1</v>
      </c>
      <c r="K668">
        <v>0</v>
      </c>
      <c r="L668">
        <v>0</v>
      </c>
      <c r="M668">
        <v>5</v>
      </c>
      <c r="N668" t="s">
        <v>36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W668">
        <v>0</v>
      </c>
      <c r="X668">
        <v>0</v>
      </c>
      <c r="Y668">
        <v>0</v>
      </c>
      <c r="Z668">
        <v>2.0291762000000001E-2</v>
      </c>
      <c r="AA668">
        <v>0</v>
      </c>
      <c r="AB668" t="s">
        <v>33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f t="shared" si="10"/>
        <v>0</v>
      </c>
    </row>
    <row r="669" spans="1:34" x14ac:dyDescent="0.25">
      <c r="A669" s="1">
        <v>44475</v>
      </c>
      <c r="B669">
        <v>571</v>
      </c>
      <c r="C669">
        <v>-1.7482520000000001E-3</v>
      </c>
      <c r="D669">
        <v>871</v>
      </c>
      <c r="E669">
        <v>4.6136099999999998E-3</v>
      </c>
      <c r="F669">
        <v>-6.3618620000000002E-3</v>
      </c>
      <c r="G669">
        <v>6.3618620000000002E-3</v>
      </c>
      <c r="H669">
        <v>4.2918890000000001E-3</v>
      </c>
      <c r="I669">
        <v>1.5847455E-2</v>
      </c>
      <c r="J669">
        <v>0</v>
      </c>
      <c r="K669">
        <v>0</v>
      </c>
      <c r="L669">
        <v>0</v>
      </c>
      <c r="M669">
        <v>5</v>
      </c>
      <c r="N669">
        <v>4.0254920140000001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W669">
        <v>0</v>
      </c>
      <c r="X669">
        <v>0</v>
      </c>
      <c r="Y669">
        <v>0</v>
      </c>
      <c r="Z669">
        <v>1.5847455E-2</v>
      </c>
      <c r="AA669">
        <v>0</v>
      </c>
      <c r="AB669" t="s">
        <v>33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f t="shared" si="10"/>
        <v>0</v>
      </c>
    </row>
    <row r="670" spans="1:34" x14ac:dyDescent="0.25">
      <c r="A670" s="1">
        <v>44476</v>
      </c>
      <c r="B670">
        <v>580</v>
      </c>
      <c r="C670">
        <v>1.5761820999999999E-2</v>
      </c>
      <c r="D670">
        <v>911</v>
      </c>
      <c r="E670">
        <v>4.5924224999999999E-2</v>
      </c>
      <c r="F670">
        <v>-3.0162404E-2</v>
      </c>
      <c r="G670">
        <v>3.0162404E-2</v>
      </c>
      <c r="H670">
        <v>9.6260129999999992E-3</v>
      </c>
      <c r="I670">
        <v>2.9380804E-2</v>
      </c>
      <c r="J670">
        <v>0</v>
      </c>
      <c r="K670">
        <v>1</v>
      </c>
      <c r="L670">
        <v>1</v>
      </c>
      <c r="M670">
        <v>5</v>
      </c>
      <c r="N670">
        <v>4.5764194060000003</v>
      </c>
      <c r="O670">
        <v>23</v>
      </c>
      <c r="P670">
        <v>-5</v>
      </c>
      <c r="Q670">
        <v>28</v>
      </c>
      <c r="R670">
        <v>-13340</v>
      </c>
      <c r="S670">
        <v>4555</v>
      </c>
      <c r="T670">
        <v>0</v>
      </c>
      <c r="U670">
        <v>0</v>
      </c>
      <c r="V670" t="s">
        <v>34</v>
      </c>
      <c r="W670">
        <v>-13340</v>
      </c>
      <c r="X670">
        <v>4555</v>
      </c>
      <c r="Y670">
        <v>0</v>
      </c>
      <c r="Z670">
        <v>2.9380804E-2</v>
      </c>
      <c r="AA670">
        <v>17895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17895</v>
      </c>
      <c r="AH670">
        <f t="shared" si="10"/>
        <v>0</v>
      </c>
    </row>
    <row r="671" spans="1:34" x14ac:dyDescent="0.25">
      <c r="A671" s="1">
        <v>44477</v>
      </c>
      <c r="B671">
        <v>575</v>
      </c>
      <c r="C671">
        <v>-8.6206900000000003E-3</v>
      </c>
      <c r="D671">
        <v>910</v>
      </c>
      <c r="E671">
        <v>-1.0976950000000001E-3</v>
      </c>
      <c r="F671">
        <v>-7.5229950000000002E-3</v>
      </c>
      <c r="G671">
        <v>7.5229950000000002E-3</v>
      </c>
      <c r="H671">
        <v>9.181771E-3</v>
      </c>
      <c r="I671">
        <v>2.6493528999999998E-2</v>
      </c>
      <c r="J671">
        <v>0</v>
      </c>
      <c r="K671">
        <v>1</v>
      </c>
      <c r="L671">
        <v>0</v>
      </c>
      <c r="M671">
        <v>5</v>
      </c>
      <c r="N671">
        <v>0.201517682</v>
      </c>
      <c r="O671">
        <v>-23</v>
      </c>
      <c r="P671">
        <v>5</v>
      </c>
      <c r="Q671">
        <v>28</v>
      </c>
      <c r="R671">
        <v>13225</v>
      </c>
      <c r="S671">
        <v>-4550</v>
      </c>
      <c r="T671">
        <v>-115</v>
      </c>
      <c r="U671">
        <v>5</v>
      </c>
      <c r="V671" t="s">
        <v>37</v>
      </c>
      <c r="W671">
        <v>0</v>
      </c>
      <c r="X671">
        <v>0</v>
      </c>
      <c r="Y671">
        <v>0</v>
      </c>
      <c r="Z671">
        <v>2.6493528999999998E-2</v>
      </c>
      <c r="AA671">
        <v>17775</v>
      </c>
      <c r="AB671">
        <v>0</v>
      </c>
      <c r="AC671">
        <v>-110</v>
      </c>
      <c r="AD671">
        <v>-6.1884669999999996E-3</v>
      </c>
      <c r="AE671">
        <v>0</v>
      </c>
      <c r="AF671">
        <v>0</v>
      </c>
      <c r="AG671">
        <v>0</v>
      </c>
      <c r="AH671">
        <f t="shared" si="10"/>
        <v>0</v>
      </c>
    </row>
    <row r="672" spans="1:34" x14ac:dyDescent="0.25">
      <c r="A672" s="1">
        <v>44481</v>
      </c>
      <c r="B672">
        <v>575</v>
      </c>
      <c r="C672">
        <v>0</v>
      </c>
      <c r="D672">
        <v>887</v>
      </c>
      <c r="E672">
        <v>-2.5274725000000001E-2</v>
      </c>
      <c r="F672">
        <v>2.5274725000000001E-2</v>
      </c>
      <c r="G672">
        <v>2.5274725000000001E-2</v>
      </c>
      <c r="H672">
        <v>8.9441469999999995E-3</v>
      </c>
      <c r="I672">
        <v>2.9802942999999998E-2</v>
      </c>
      <c r="J672">
        <v>1</v>
      </c>
      <c r="K672">
        <v>0</v>
      </c>
      <c r="L672">
        <v>-1</v>
      </c>
      <c r="M672">
        <v>5</v>
      </c>
      <c r="N672" t="s">
        <v>36</v>
      </c>
      <c r="O672">
        <v>-23</v>
      </c>
      <c r="P672">
        <v>5</v>
      </c>
      <c r="Q672">
        <v>28</v>
      </c>
      <c r="R672">
        <v>13225</v>
      </c>
      <c r="S672">
        <v>-4435</v>
      </c>
      <c r="T672">
        <v>-115</v>
      </c>
      <c r="U672">
        <v>120</v>
      </c>
      <c r="V672" t="s">
        <v>35</v>
      </c>
      <c r="W672">
        <v>13225</v>
      </c>
      <c r="X672">
        <v>-4435</v>
      </c>
      <c r="Y672">
        <v>5</v>
      </c>
      <c r="Z672">
        <v>2.9802942999999998E-2</v>
      </c>
      <c r="AA672">
        <v>17660</v>
      </c>
      <c r="AB672">
        <v>0</v>
      </c>
      <c r="AC672">
        <v>5</v>
      </c>
      <c r="AD672">
        <v>2.8312600000000003E-4</v>
      </c>
      <c r="AE672">
        <v>0</v>
      </c>
      <c r="AF672">
        <v>5</v>
      </c>
      <c r="AG672">
        <v>0</v>
      </c>
      <c r="AH672">
        <f t="shared" si="10"/>
        <v>2.8312570781426955E-4</v>
      </c>
    </row>
    <row r="673" spans="1:34" x14ac:dyDescent="0.25">
      <c r="A673" s="1">
        <v>44482</v>
      </c>
      <c r="B673">
        <v>571</v>
      </c>
      <c r="C673">
        <v>-6.9565219999999997E-3</v>
      </c>
      <c r="D673">
        <v>862</v>
      </c>
      <c r="E673">
        <v>-2.8184892999999999E-2</v>
      </c>
      <c r="F673">
        <v>2.1228370999999999E-2</v>
      </c>
      <c r="G673">
        <v>2.1228370999999999E-2</v>
      </c>
      <c r="H673">
        <v>9.6658149999999995E-3</v>
      </c>
      <c r="I673">
        <v>2.9839125000000001E-2</v>
      </c>
      <c r="J673">
        <v>1</v>
      </c>
      <c r="K673">
        <v>0</v>
      </c>
      <c r="L673">
        <v>0</v>
      </c>
      <c r="M673">
        <v>5</v>
      </c>
      <c r="N673">
        <v>6.116393242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W673">
        <v>0</v>
      </c>
      <c r="X673">
        <v>0</v>
      </c>
      <c r="Y673">
        <v>0</v>
      </c>
      <c r="Z673">
        <v>2.9839125000000001E-2</v>
      </c>
      <c r="AA673">
        <v>0</v>
      </c>
      <c r="AB673" t="s">
        <v>33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f t="shared" si="10"/>
        <v>0</v>
      </c>
    </row>
    <row r="674" spans="1:34" x14ac:dyDescent="0.25">
      <c r="A674" s="1">
        <v>44483</v>
      </c>
      <c r="B674">
        <v>573</v>
      </c>
      <c r="C674">
        <v>3.5026269999999999E-3</v>
      </c>
      <c r="D674">
        <v>840</v>
      </c>
      <c r="E674">
        <v>-2.5522042000000002E-2</v>
      </c>
      <c r="F674">
        <v>2.9024668999999999E-2</v>
      </c>
      <c r="G674">
        <v>2.9024668999999999E-2</v>
      </c>
      <c r="H674">
        <v>9.7556870000000007E-3</v>
      </c>
      <c r="I674">
        <v>3.1470221E-2</v>
      </c>
      <c r="J674">
        <v>1</v>
      </c>
      <c r="K674">
        <v>0</v>
      </c>
      <c r="L674">
        <v>0</v>
      </c>
      <c r="M674">
        <v>5</v>
      </c>
      <c r="N674">
        <v>10.68184303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W674">
        <v>0</v>
      </c>
      <c r="X674">
        <v>0</v>
      </c>
      <c r="Y674">
        <v>0</v>
      </c>
      <c r="Z674">
        <v>3.1470221E-2</v>
      </c>
      <c r="AA674">
        <v>0</v>
      </c>
      <c r="AB674" t="s">
        <v>33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f t="shared" si="10"/>
        <v>0</v>
      </c>
    </row>
    <row r="675" spans="1:34" x14ac:dyDescent="0.25">
      <c r="A675" s="1">
        <v>44484</v>
      </c>
      <c r="B675">
        <v>600</v>
      </c>
      <c r="C675">
        <v>4.7120418999999997E-2</v>
      </c>
      <c r="D675">
        <v>857</v>
      </c>
      <c r="E675">
        <v>2.0238095000000001E-2</v>
      </c>
      <c r="F675">
        <v>2.6882323999999999E-2</v>
      </c>
      <c r="G675">
        <v>2.6882323999999999E-2</v>
      </c>
      <c r="H675">
        <v>2.2965570000000001E-2</v>
      </c>
      <c r="I675">
        <v>2.1090073000000001E-2</v>
      </c>
      <c r="J675">
        <v>1</v>
      </c>
      <c r="K675">
        <v>1</v>
      </c>
      <c r="L675">
        <v>1</v>
      </c>
      <c r="M675">
        <v>5</v>
      </c>
      <c r="N675">
        <v>0.61346538799999994</v>
      </c>
      <c r="O675">
        <v>-4</v>
      </c>
      <c r="P675">
        <v>5</v>
      </c>
      <c r="Q675">
        <v>9</v>
      </c>
      <c r="R675">
        <v>2400</v>
      </c>
      <c r="S675">
        <v>-4285</v>
      </c>
      <c r="T675">
        <v>0</v>
      </c>
      <c r="U675">
        <v>0</v>
      </c>
      <c r="V675" t="s">
        <v>34</v>
      </c>
      <c r="W675">
        <v>2400</v>
      </c>
      <c r="X675">
        <v>-4285</v>
      </c>
      <c r="Y675">
        <v>0</v>
      </c>
      <c r="Z675">
        <v>2.2965570000000001E-2</v>
      </c>
      <c r="AA675">
        <v>6685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6685</v>
      </c>
      <c r="AH675">
        <f t="shared" si="10"/>
        <v>0</v>
      </c>
    </row>
    <row r="676" spans="1:34" x14ac:dyDescent="0.25">
      <c r="A676" s="1">
        <v>44487</v>
      </c>
      <c r="B676">
        <v>590</v>
      </c>
      <c r="C676">
        <v>-1.6666667E-2</v>
      </c>
      <c r="D676">
        <v>867</v>
      </c>
      <c r="E676">
        <v>1.1668611000000001E-2</v>
      </c>
      <c r="F676">
        <v>-2.8335277999999998E-2</v>
      </c>
      <c r="G676">
        <v>2.8335277999999998E-2</v>
      </c>
      <c r="H676">
        <v>2.4561019999999999E-2</v>
      </c>
      <c r="I676">
        <v>2.3383226999999999E-2</v>
      </c>
      <c r="J676">
        <v>0</v>
      </c>
      <c r="K676">
        <v>0</v>
      </c>
      <c r="L676">
        <v>-1</v>
      </c>
      <c r="M676">
        <v>5</v>
      </c>
      <c r="N676">
        <v>1.0288155370000001</v>
      </c>
      <c r="O676">
        <v>4</v>
      </c>
      <c r="P676">
        <v>-5</v>
      </c>
      <c r="Q676">
        <v>9</v>
      </c>
      <c r="R676">
        <v>-2360</v>
      </c>
      <c r="S676">
        <v>4335</v>
      </c>
      <c r="T676">
        <v>40</v>
      </c>
      <c r="U676">
        <v>50</v>
      </c>
      <c r="V676" t="s">
        <v>35</v>
      </c>
      <c r="W676">
        <v>-2360</v>
      </c>
      <c r="X676">
        <v>4335</v>
      </c>
      <c r="Y676">
        <v>90</v>
      </c>
      <c r="Z676">
        <v>2.4561019999999999E-2</v>
      </c>
      <c r="AA676">
        <v>6695</v>
      </c>
      <c r="AB676">
        <v>0</v>
      </c>
      <c r="AC676">
        <v>90</v>
      </c>
      <c r="AD676">
        <v>1.3442868E-2</v>
      </c>
      <c r="AE676">
        <v>0</v>
      </c>
      <c r="AF676">
        <v>90</v>
      </c>
      <c r="AG676">
        <v>0</v>
      </c>
      <c r="AH676">
        <f t="shared" si="10"/>
        <v>1.344286781179985E-2</v>
      </c>
    </row>
    <row r="677" spans="1:34" x14ac:dyDescent="0.25">
      <c r="A677" s="1">
        <v>44488</v>
      </c>
      <c r="B677">
        <v>600</v>
      </c>
      <c r="C677">
        <v>1.6949153000000002E-2</v>
      </c>
      <c r="D677">
        <v>898</v>
      </c>
      <c r="E677">
        <v>3.5755479E-2</v>
      </c>
      <c r="F677">
        <v>-1.8806326000000002E-2</v>
      </c>
      <c r="G677">
        <v>1.8806326000000002E-2</v>
      </c>
      <c r="H677">
        <v>2.4797903E-2</v>
      </c>
      <c r="I677">
        <v>2.8420962000000001E-2</v>
      </c>
      <c r="J677">
        <v>0</v>
      </c>
      <c r="K677">
        <v>0</v>
      </c>
      <c r="L677">
        <v>0</v>
      </c>
      <c r="M677">
        <v>5</v>
      </c>
      <c r="N677">
        <v>3.1573279510000001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W677">
        <v>0</v>
      </c>
      <c r="X677">
        <v>0</v>
      </c>
      <c r="Y677">
        <v>0</v>
      </c>
      <c r="Z677">
        <v>2.8420962000000001E-2</v>
      </c>
      <c r="AA677">
        <v>0</v>
      </c>
      <c r="AB677" t="s">
        <v>33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f t="shared" si="10"/>
        <v>0</v>
      </c>
    </row>
    <row r="678" spans="1:34" x14ac:dyDescent="0.25">
      <c r="A678" s="1">
        <v>44489</v>
      </c>
      <c r="B678">
        <v>598</v>
      </c>
      <c r="C678">
        <v>-3.333333E-3</v>
      </c>
      <c r="D678">
        <v>901</v>
      </c>
      <c r="E678">
        <v>3.3407570000000002E-3</v>
      </c>
      <c r="F678">
        <v>-6.6740910000000001E-3</v>
      </c>
      <c r="G678">
        <v>6.6740910000000001E-3</v>
      </c>
      <c r="H678">
        <v>2.4270053999999999E-2</v>
      </c>
      <c r="I678">
        <v>2.2765237000000001E-2</v>
      </c>
      <c r="J678">
        <v>0</v>
      </c>
      <c r="K678">
        <v>0</v>
      </c>
      <c r="L678">
        <v>0</v>
      </c>
      <c r="M678">
        <v>5</v>
      </c>
      <c r="N678">
        <v>1.510044618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W678">
        <v>0</v>
      </c>
      <c r="X678">
        <v>0</v>
      </c>
      <c r="Y678">
        <v>0</v>
      </c>
      <c r="Z678">
        <v>2.4270053999999999E-2</v>
      </c>
      <c r="AA678">
        <v>0</v>
      </c>
      <c r="AB678" t="s">
        <v>33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f t="shared" si="10"/>
        <v>0</v>
      </c>
    </row>
    <row r="679" spans="1:34" x14ac:dyDescent="0.25">
      <c r="A679" s="1">
        <v>44490</v>
      </c>
      <c r="B679">
        <v>596</v>
      </c>
      <c r="C679">
        <v>-3.3444820000000002E-3</v>
      </c>
      <c r="D679">
        <v>913</v>
      </c>
      <c r="E679">
        <v>1.3318534999999999E-2</v>
      </c>
      <c r="F679">
        <v>-1.6663016999999999E-2</v>
      </c>
      <c r="G679">
        <v>1.6663016999999999E-2</v>
      </c>
      <c r="H679">
        <v>2.4879588000000001E-2</v>
      </c>
      <c r="I679">
        <v>1.2152293999999999E-2</v>
      </c>
      <c r="J679">
        <v>0</v>
      </c>
      <c r="K679">
        <v>0</v>
      </c>
      <c r="L679">
        <v>0</v>
      </c>
      <c r="M679">
        <v>5</v>
      </c>
      <c r="N679">
        <v>6.1003135960000003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W679">
        <v>0</v>
      </c>
      <c r="X679">
        <v>0</v>
      </c>
      <c r="Y679">
        <v>0</v>
      </c>
      <c r="Z679">
        <v>2.4879588000000001E-2</v>
      </c>
      <c r="AA679">
        <v>0</v>
      </c>
      <c r="AB679" t="s">
        <v>33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f t="shared" si="10"/>
        <v>0</v>
      </c>
    </row>
    <row r="680" spans="1:34" x14ac:dyDescent="0.25">
      <c r="A680" s="1">
        <v>44491</v>
      </c>
      <c r="B680">
        <v>600</v>
      </c>
      <c r="C680">
        <v>6.7114089999999998E-3</v>
      </c>
      <c r="D680">
        <v>926</v>
      </c>
      <c r="E680">
        <v>1.4238773E-2</v>
      </c>
      <c r="F680">
        <v>-7.5273639999999999E-3</v>
      </c>
      <c r="G680">
        <v>7.5273639999999999E-3</v>
      </c>
      <c r="H680">
        <v>1.2573496E-2</v>
      </c>
      <c r="I680">
        <v>1.2031474E-2</v>
      </c>
      <c r="J680">
        <v>0</v>
      </c>
      <c r="K680">
        <v>0</v>
      </c>
      <c r="L680">
        <v>0</v>
      </c>
      <c r="M680">
        <v>5</v>
      </c>
      <c r="N680">
        <v>3.27430084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W680">
        <v>0</v>
      </c>
      <c r="X680">
        <v>0</v>
      </c>
      <c r="Y680">
        <v>0</v>
      </c>
      <c r="Z680">
        <v>1.2573496E-2</v>
      </c>
      <c r="AA680">
        <v>0</v>
      </c>
      <c r="AB680" t="s">
        <v>33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f t="shared" si="10"/>
        <v>0</v>
      </c>
    </row>
    <row r="681" spans="1:34" x14ac:dyDescent="0.25">
      <c r="A681" s="1">
        <v>44494</v>
      </c>
      <c r="B681">
        <v>593</v>
      </c>
      <c r="C681">
        <v>-1.1666667E-2</v>
      </c>
      <c r="D681">
        <v>938</v>
      </c>
      <c r="E681">
        <v>1.2958963E-2</v>
      </c>
      <c r="F681">
        <v>-2.4625629999999999E-2</v>
      </c>
      <c r="G681">
        <v>2.4625629999999999E-2</v>
      </c>
      <c r="H681">
        <v>1.101218E-2</v>
      </c>
      <c r="I681">
        <v>1.1937812000000001E-2</v>
      </c>
      <c r="J681">
        <v>0</v>
      </c>
      <c r="K681">
        <v>1</v>
      </c>
      <c r="L681">
        <v>1</v>
      </c>
      <c r="M681">
        <v>5</v>
      </c>
      <c r="N681">
        <v>1.756999406</v>
      </c>
      <c r="O681">
        <v>9</v>
      </c>
      <c r="P681">
        <v>-5</v>
      </c>
      <c r="Q681">
        <v>14</v>
      </c>
      <c r="R681">
        <v>-5337</v>
      </c>
      <c r="S681">
        <v>4690</v>
      </c>
      <c r="T681">
        <v>0</v>
      </c>
      <c r="U681">
        <v>0</v>
      </c>
      <c r="V681" t="s">
        <v>34</v>
      </c>
      <c r="W681">
        <v>-5337</v>
      </c>
      <c r="X681">
        <v>4690</v>
      </c>
      <c r="Y681">
        <v>0</v>
      </c>
      <c r="Z681">
        <v>1.1937812000000001E-2</v>
      </c>
      <c r="AA681">
        <v>10027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10027</v>
      </c>
      <c r="AH681">
        <f t="shared" si="10"/>
        <v>0</v>
      </c>
    </row>
    <row r="682" spans="1:34" x14ac:dyDescent="0.25">
      <c r="A682" s="1">
        <v>44495</v>
      </c>
      <c r="B682">
        <v>599</v>
      </c>
      <c r="C682">
        <v>1.0118044E-2</v>
      </c>
      <c r="D682">
        <v>946</v>
      </c>
      <c r="E682">
        <v>8.5287850000000005E-3</v>
      </c>
      <c r="F682">
        <v>1.589259E-3</v>
      </c>
      <c r="G682">
        <v>1.589259E-3</v>
      </c>
      <c r="H682">
        <v>8.7373699999999995E-3</v>
      </c>
      <c r="I682">
        <v>4.5581490000000001E-3</v>
      </c>
      <c r="J682">
        <v>1</v>
      </c>
      <c r="K682">
        <v>0</v>
      </c>
      <c r="L682">
        <v>-1</v>
      </c>
      <c r="M682">
        <v>5</v>
      </c>
      <c r="N682">
        <v>1.3312355469999999</v>
      </c>
      <c r="O682">
        <v>-9</v>
      </c>
      <c r="P682">
        <v>5</v>
      </c>
      <c r="Q682">
        <v>14</v>
      </c>
      <c r="R682">
        <v>5391</v>
      </c>
      <c r="S682">
        <v>-4730</v>
      </c>
      <c r="T682">
        <v>54</v>
      </c>
      <c r="U682">
        <v>-40</v>
      </c>
      <c r="V682" t="s">
        <v>35</v>
      </c>
      <c r="W682">
        <v>5391</v>
      </c>
      <c r="X682">
        <v>-4730</v>
      </c>
      <c r="Y682">
        <v>14</v>
      </c>
      <c r="Z682">
        <v>8.7373699999999995E-3</v>
      </c>
      <c r="AA682">
        <v>10121</v>
      </c>
      <c r="AB682">
        <v>0</v>
      </c>
      <c r="AC682">
        <v>14</v>
      </c>
      <c r="AD682">
        <v>1.383263E-3</v>
      </c>
      <c r="AE682">
        <v>0</v>
      </c>
      <c r="AF682">
        <v>14</v>
      </c>
      <c r="AG682">
        <v>0</v>
      </c>
      <c r="AH682">
        <f t="shared" si="10"/>
        <v>1.3832625234660608E-3</v>
      </c>
    </row>
    <row r="683" spans="1:34" x14ac:dyDescent="0.25">
      <c r="A683" s="1">
        <v>44496</v>
      </c>
      <c r="B683">
        <v>599</v>
      </c>
      <c r="C683">
        <v>0</v>
      </c>
      <c r="D683">
        <v>942</v>
      </c>
      <c r="E683">
        <v>-4.2283299999999998E-3</v>
      </c>
      <c r="F683">
        <v>4.2283299999999998E-3</v>
      </c>
      <c r="G683">
        <v>4.2283299999999998E-3</v>
      </c>
      <c r="H683">
        <v>8.5739900000000001E-3</v>
      </c>
      <c r="I683">
        <v>7.6969459999999996E-3</v>
      </c>
      <c r="J683">
        <v>1</v>
      </c>
      <c r="K683">
        <v>0</v>
      </c>
      <c r="L683">
        <v>0</v>
      </c>
      <c r="M683">
        <v>5</v>
      </c>
      <c r="N683" t="s">
        <v>36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W683">
        <v>0</v>
      </c>
      <c r="X683">
        <v>0</v>
      </c>
      <c r="Y683">
        <v>0</v>
      </c>
      <c r="Z683">
        <v>8.5739900000000001E-3</v>
      </c>
      <c r="AA683">
        <v>0</v>
      </c>
      <c r="AB683" t="s">
        <v>33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f t="shared" si="10"/>
        <v>0</v>
      </c>
    </row>
    <row r="684" spans="1:34" x14ac:dyDescent="0.25">
      <c r="A684" s="1">
        <v>44497</v>
      </c>
      <c r="B684">
        <v>595</v>
      </c>
      <c r="C684">
        <v>-6.6777959999999997E-3</v>
      </c>
      <c r="D684">
        <v>936</v>
      </c>
      <c r="E684">
        <v>-6.3694270000000004E-3</v>
      </c>
      <c r="F684">
        <v>-3.0836999999999998E-4</v>
      </c>
      <c r="G684">
        <v>3.0836999999999998E-4</v>
      </c>
      <c r="H684">
        <v>9.0507299999999999E-3</v>
      </c>
      <c r="I684">
        <v>9.6898780000000007E-3</v>
      </c>
      <c r="J684">
        <v>0</v>
      </c>
      <c r="K684">
        <v>0</v>
      </c>
      <c r="L684">
        <v>0</v>
      </c>
      <c r="M684">
        <v>5</v>
      </c>
      <c r="N684">
        <v>1.500465664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W684">
        <v>0</v>
      </c>
      <c r="X684">
        <v>0</v>
      </c>
      <c r="Y684">
        <v>0</v>
      </c>
      <c r="Z684">
        <v>9.6898780000000007E-3</v>
      </c>
      <c r="AA684">
        <v>0</v>
      </c>
      <c r="AB684" t="s">
        <v>33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f t="shared" si="10"/>
        <v>0</v>
      </c>
    </row>
    <row r="685" spans="1:34" x14ac:dyDescent="0.25">
      <c r="A685" s="1">
        <v>44498</v>
      </c>
      <c r="B685">
        <v>590</v>
      </c>
      <c r="C685">
        <v>-8.4033609999999998E-3</v>
      </c>
      <c r="D685">
        <v>913</v>
      </c>
      <c r="E685">
        <v>-2.4572650000000001E-2</v>
      </c>
      <c r="F685">
        <v>1.6169288E-2</v>
      </c>
      <c r="G685">
        <v>1.6169288E-2</v>
      </c>
      <c r="H685">
        <v>8.6369189999999998E-3</v>
      </c>
      <c r="I685">
        <v>1.4709651000000001E-2</v>
      </c>
      <c r="J685">
        <v>1</v>
      </c>
      <c r="K685">
        <v>1</v>
      </c>
      <c r="L685">
        <v>1</v>
      </c>
      <c r="M685">
        <v>5</v>
      </c>
      <c r="N685">
        <v>4.524990946</v>
      </c>
      <c r="O685">
        <v>-23</v>
      </c>
      <c r="P685">
        <v>5</v>
      </c>
      <c r="Q685">
        <v>28</v>
      </c>
      <c r="R685">
        <v>13570</v>
      </c>
      <c r="S685">
        <v>-4565</v>
      </c>
      <c r="T685">
        <v>0</v>
      </c>
      <c r="U685">
        <v>0</v>
      </c>
      <c r="V685" t="s">
        <v>34</v>
      </c>
      <c r="W685">
        <v>13570</v>
      </c>
      <c r="X685">
        <v>-4565</v>
      </c>
      <c r="Y685">
        <v>0</v>
      </c>
      <c r="Z685">
        <v>1.4709651000000001E-2</v>
      </c>
      <c r="AA685">
        <v>18135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18135</v>
      </c>
      <c r="AH685">
        <f t="shared" si="10"/>
        <v>0</v>
      </c>
    </row>
    <row r="686" spans="1:34" x14ac:dyDescent="0.25">
      <c r="A686" s="1">
        <v>44501</v>
      </c>
      <c r="B686">
        <v>590</v>
      </c>
      <c r="C686">
        <v>0</v>
      </c>
      <c r="D686">
        <v>922</v>
      </c>
      <c r="E686">
        <v>9.857612E-3</v>
      </c>
      <c r="F686">
        <v>-9.857612E-3</v>
      </c>
      <c r="G686">
        <v>9.857612E-3</v>
      </c>
      <c r="H686">
        <v>7.291395E-3</v>
      </c>
      <c r="I686">
        <v>1.3926913000000001E-2</v>
      </c>
      <c r="J686">
        <v>0</v>
      </c>
      <c r="K686">
        <v>0</v>
      </c>
      <c r="L686">
        <v>-1</v>
      </c>
      <c r="M686">
        <v>5</v>
      </c>
      <c r="N686" t="s">
        <v>36</v>
      </c>
      <c r="O686">
        <v>23</v>
      </c>
      <c r="P686">
        <v>-5</v>
      </c>
      <c r="Q686">
        <v>28</v>
      </c>
      <c r="R686">
        <v>-13570</v>
      </c>
      <c r="S686">
        <v>4610</v>
      </c>
      <c r="T686">
        <v>0</v>
      </c>
      <c r="U686">
        <v>45</v>
      </c>
      <c r="V686" t="s">
        <v>35</v>
      </c>
      <c r="W686">
        <v>-13570</v>
      </c>
      <c r="X686">
        <v>4610</v>
      </c>
      <c r="Y686">
        <v>45</v>
      </c>
      <c r="Z686">
        <v>1.3926913000000001E-2</v>
      </c>
      <c r="AA686">
        <v>18180</v>
      </c>
      <c r="AB686">
        <v>0</v>
      </c>
      <c r="AC686">
        <v>45</v>
      </c>
      <c r="AD686">
        <v>2.4752480000000002E-3</v>
      </c>
      <c r="AE686">
        <v>0</v>
      </c>
      <c r="AF686">
        <v>45</v>
      </c>
      <c r="AG686">
        <v>0</v>
      </c>
      <c r="AH686">
        <f t="shared" si="10"/>
        <v>2.4752475247524753E-3</v>
      </c>
    </row>
    <row r="687" spans="1:34" x14ac:dyDescent="0.25">
      <c r="A687" s="1">
        <v>44502</v>
      </c>
      <c r="B687">
        <v>592</v>
      </c>
      <c r="C687">
        <v>3.3898309999999998E-3</v>
      </c>
      <c r="D687">
        <v>928</v>
      </c>
      <c r="E687">
        <v>6.5075920000000004E-3</v>
      </c>
      <c r="F687">
        <v>-3.1177620000000001E-3</v>
      </c>
      <c r="G687">
        <v>3.1177620000000001E-3</v>
      </c>
      <c r="H687">
        <v>4.9840489999999999E-3</v>
      </c>
      <c r="I687">
        <v>1.3519039E-2</v>
      </c>
      <c r="J687">
        <v>0</v>
      </c>
      <c r="K687">
        <v>0</v>
      </c>
      <c r="L687">
        <v>0</v>
      </c>
      <c r="M687">
        <v>5</v>
      </c>
      <c r="N687">
        <v>3.0093216859999998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W687">
        <v>0</v>
      </c>
      <c r="X687">
        <v>0</v>
      </c>
      <c r="Y687">
        <v>0</v>
      </c>
      <c r="Z687">
        <v>1.3519039E-2</v>
      </c>
      <c r="AA687">
        <v>0</v>
      </c>
      <c r="AB687" t="s">
        <v>33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f t="shared" si="10"/>
        <v>0</v>
      </c>
    </row>
    <row r="688" spans="1:34" x14ac:dyDescent="0.25">
      <c r="A688" s="1">
        <v>44503</v>
      </c>
      <c r="B688">
        <v>592</v>
      </c>
      <c r="C688">
        <v>0</v>
      </c>
      <c r="D688">
        <v>932</v>
      </c>
      <c r="E688">
        <v>4.3103450000000001E-3</v>
      </c>
      <c r="F688">
        <v>-4.3103450000000001E-3</v>
      </c>
      <c r="G688">
        <v>4.3103450000000001E-3</v>
      </c>
      <c r="H688">
        <v>4.9840489999999999E-3</v>
      </c>
      <c r="I688">
        <v>1.3976809E-2</v>
      </c>
      <c r="J688">
        <v>0</v>
      </c>
      <c r="K688">
        <v>0</v>
      </c>
      <c r="L688">
        <v>0</v>
      </c>
      <c r="M688">
        <v>5</v>
      </c>
      <c r="N688" t="s">
        <v>36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W688">
        <v>0</v>
      </c>
      <c r="X688">
        <v>0</v>
      </c>
      <c r="Y688">
        <v>0</v>
      </c>
      <c r="Z688">
        <v>1.3976809E-2</v>
      </c>
      <c r="AA688">
        <v>0</v>
      </c>
      <c r="AB688" t="s">
        <v>33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f t="shared" si="10"/>
        <v>0</v>
      </c>
    </row>
    <row r="689" spans="1:34" x14ac:dyDescent="0.25">
      <c r="A689" s="1">
        <v>44504</v>
      </c>
      <c r="B689">
        <v>587</v>
      </c>
      <c r="C689">
        <v>-8.4459459999999993E-3</v>
      </c>
      <c r="D689">
        <v>928</v>
      </c>
      <c r="E689">
        <v>-4.2918449999999999E-3</v>
      </c>
      <c r="F689">
        <v>-4.1541E-3</v>
      </c>
      <c r="G689">
        <v>4.1541E-3</v>
      </c>
      <c r="H689">
        <v>5.4131769999999999E-3</v>
      </c>
      <c r="I689">
        <v>1.3846693E-2</v>
      </c>
      <c r="J689">
        <v>0</v>
      </c>
      <c r="K689">
        <v>0</v>
      </c>
      <c r="L689">
        <v>0</v>
      </c>
      <c r="M689">
        <v>5</v>
      </c>
      <c r="N689">
        <v>0.80335158799999995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W689">
        <v>0</v>
      </c>
      <c r="X689">
        <v>0</v>
      </c>
      <c r="Y689">
        <v>0</v>
      </c>
      <c r="Z689">
        <v>1.3846693E-2</v>
      </c>
      <c r="AA689">
        <v>0</v>
      </c>
      <c r="AB689" t="s">
        <v>33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f t="shared" si="10"/>
        <v>0</v>
      </c>
    </row>
    <row r="690" spans="1:34" x14ac:dyDescent="0.25">
      <c r="A690" s="1">
        <v>44505</v>
      </c>
      <c r="B690">
        <v>600</v>
      </c>
      <c r="C690">
        <v>2.2146507999999999E-2</v>
      </c>
      <c r="D690">
        <v>940</v>
      </c>
      <c r="E690">
        <v>1.2931033999999999E-2</v>
      </c>
      <c r="F690">
        <v>9.2154730000000001E-3</v>
      </c>
      <c r="G690">
        <v>9.2154730000000001E-3</v>
      </c>
      <c r="H690">
        <v>1.1345444999999999E-2</v>
      </c>
      <c r="I690">
        <v>6.5547909999999999E-3</v>
      </c>
      <c r="J690">
        <v>1</v>
      </c>
      <c r="K690">
        <v>0</v>
      </c>
      <c r="L690">
        <v>0</v>
      </c>
      <c r="M690">
        <v>5</v>
      </c>
      <c r="N690">
        <v>0.91475464200000001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W690">
        <v>0</v>
      </c>
      <c r="X690">
        <v>0</v>
      </c>
      <c r="Y690">
        <v>0</v>
      </c>
      <c r="Z690">
        <v>1.1345444999999999E-2</v>
      </c>
      <c r="AA690">
        <v>0</v>
      </c>
      <c r="AB690" t="s">
        <v>33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f t="shared" si="10"/>
        <v>0</v>
      </c>
    </row>
    <row r="691" spans="1:34" x14ac:dyDescent="0.25">
      <c r="A691" s="1">
        <v>44508</v>
      </c>
      <c r="B691">
        <v>602</v>
      </c>
      <c r="C691">
        <v>3.333333E-3</v>
      </c>
      <c r="D691">
        <v>980</v>
      </c>
      <c r="E691">
        <v>4.2553190999999997E-2</v>
      </c>
      <c r="F691">
        <v>-3.9219858000000003E-2</v>
      </c>
      <c r="G691">
        <v>3.9219858000000003E-2</v>
      </c>
      <c r="H691">
        <v>1.1191270999999999E-2</v>
      </c>
      <c r="I691">
        <v>1.7946291999999999E-2</v>
      </c>
      <c r="J691">
        <v>0</v>
      </c>
      <c r="K691">
        <v>1</v>
      </c>
      <c r="L691">
        <v>1</v>
      </c>
      <c r="M691">
        <v>5</v>
      </c>
      <c r="N691">
        <v>20.78179119</v>
      </c>
      <c r="O691">
        <v>104</v>
      </c>
      <c r="P691">
        <v>-5</v>
      </c>
      <c r="Q691">
        <v>109</v>
      </c>
      <c r="R691">
        <v>-62608</v>
      </c>
      <c r="S691">
        <v>4900</v>
      </c>
      <c r="T691">
        <v>0</v>
      </c>
      <c r="U691">
        <v>0</v>
      </c>
      <c r="V691" t="s">
        <v>34</v>
      </c>
      <c r="W691">
        <v>-62608</v>
      </c>
      <c r="X691">
        <v>4900</v>
      </c>
      <c r="Y691">
        <v>0</v>
      </c>
      <c r="Z691">
        <v>1.7946291999999999E-2</v>
      </c>
      <c r="AA691">
        <v>67508</v>
      </c>
      <c r="AB691">
        <v>0.01</v>
      </c>
      <c r="AC691">
        <v>0</v>
      </c>
      <c r="AD691">
        <v>0</v>
      </c>
      <c r="AE691">
        <v>0</v>
      </c>
      <c r="AF691">
        <v>0</v>
      </c>
      <c r="AG691">
        <v>67508</v>
      </c>
      <c r="AH691">
        <f t="shared" si="10"/>
        <v>0</v>
      </c>
    </row>
    <row r="692" spans="1:34" x14ac:dyDescent="0.25">
      <c r="A692" s="1">
        <v>44509</v>
      </c>
      <c r="B692">
        <v>611</v>
      </c>
      <c r="C692">
        <v>1.4950166000000001E-2</v>
      </c>
      <c r="D692">
        <v>978</v>
      </c>
      <c r="E692">
        <v>-2.040816E-3</v>
      </c>
      <c r="F692">
        <v>1.6990982000000002E-2</v>
      </c>
      <c r="G692">
        <v>1.6990982000000002E-2</v>
      </c>
      <c r="H692">
        <v>1.2163719999999999E-2</v>
      </c>
      <c r="I692">
        <v>1.9023108E-2</v>
      </c>
      <c r="J692">
        <v>1</v>
      </c>
      <c r="K692">
        <v>0</v>
      </c>
      <c r="L692">
        <v>-1</v>
      </c>
      <c r="M692">
        <v>5</v>
      </c>
      <c r="N692">
        <v>0.218502065</v>
      </c>
      <c r="O692">
        <v>-104</v>
      </c>
      <c r="P692">
        <v>5</v>
      </c>
      <c r="Q692">
        <v>109</v>
      </c>
      <c r="R692">
        <v>63544</v>
      </c>
      <c r="S692">
        <v>-4890</v>
      </c>
      <c r="T692">
        <v>936</v>
      </c>
      <c r="U692">
        <v>10</v>
      </c>
      <c r="V692" t="s">
        <v>35</v>
      </c>
      <c r="W692">
        <v>63544</v>
      </c>
      <c r="X692">
        <v>-4890</v>
      </c>
      <c r="Y692">
        <v>946</v>
      </c>
      <c r="Z692">
        <v>1.9023108E-2</v>
      </c>
      <c r="AA692">
        <v>68434</v>
      </c>
      <c r="AB692">
        <v>0.01</v>
      </c>
      <c r="AC692">
        <v>946</v>
      </c>
      <c r="AD692">
        <v>1.3823538E-2</v>
      </c>
      <c r="AE692">
        <v>0</v>
      </c>
      <c r="AF692">
        <v>946</v>
      </c>
      <c r="AG692">
        <v>0</v>
      </c>
      <c r="AH692">
        <f t="shared" si="10"/>
        <v>1.3823538007423211E-2</v>
      </c>
    </row>
    <row r="693" spans="1:34" x14ac:dyDescent="0.25">
      <c r="A693" s="1">
        <v>44510</v>
      </c>
      <c r="B693">
        <v>612</v>
      </c>
      <c r="C693">
        <v>1.636661E-3</v>
      </c>
      <c r="D693">
        <v>958</v>
      </c>
      <c r="E693">
        <v>-2.0449898000000001E-2</v>
      </c>
      <c r="F693">
        <v>2.2086558999999999E-2</v>
      </c>
      <c r="G693">
        <v>2.2086558999999999E-2</v>
      </c>
      <c r="H693">
        <v>1.1969006000000001E-2</v>
      </c>
      <c r="I693">
        <v>2.3738216999999999E-2</v>
      </c>
      <c r="J693">
        <v>1</v>
      </c>
      <c r="K693">
        <v>0</v>
      </c>
      <c r="L693">
        <v>0</v>
      </c>
      <c r="M693">
        <v>5</v>
      </c>
      <c r="N693">
        <v>19.558990600000001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W693">
        <v>0</v>
      </c>
      <c r="X693">
        <v>0</v>
      </c>
      <c r="Y693">
        <v>0</v>
      </c>
      <c r="Z693">
        <v>2.3738216999999999E-2</v>
      </c>
      <c r="AA693">
        <v>0</v>
      </c>
      <c r="AB693" t="s">
        <v>33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f t="shared" si="10"/>
        <v>0</v>
      </c>
    </row>
    <row r="694" spans="1:34" x14ac:dyDescent="0.25">
      <c r="A694" s="1">
        <v>44511</v>
      </c>
      <c r="B694">
        <v>606</v>
      </c>
      <c r="C694">
        <v>-9.8039219999999996E-3</v>
      </c>
      <c r="D694">
        <v>954</v>
      </c>
      <c r="E694">
        <v>-4.1753650000000003E-3</v>
      </c>
      <c r="F694">
        <v>-5.6285559999999998E-3</v>
      </c>
      <c r="G694">
        <v>5.6285559999999998E-3</v>
      </c>
      <c r="H694">
        <v>1.2406700999999999E-2</v>
      </c>
      <c r="I694">
        <v>2.3725965000000002E-2</v>
      </c>
      <c r="J694">
        <v>0</v>
      </c>
      <c r="K694">
        <v>0</v>
      </c>
      <c r="L694">
        <v>0</v>
      </c>
      <c r="M694">
        <v>5</v>
      </c>
      <c r="N694">
        <v>0.67045619000000001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W694">
        <v>0</v>
      </c>
      <c r="X694">
        <v>0</v>
      </c>
      <c r="Y694">
        <v>0</v>
      </c>
      <c r="Z694">
        <v>2.3725965000000002E-2</v>
      </c>
      <c r="AA694">
        <v>0</v>
      </c>
      <c r="AB694" t="s">
        <v>33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f t="shared" si="10"/>
        <v>0</v>
      </c>
    </row>
    <row r="695" spans="1:34" x14ac:dyDescent="0.25">
      <c r="A695" s="1">
        <v>44512</v>
      </c>
      <c r="B695">
        <v>604</v>
      </c>
      <c r="C695">
        <v>-3.3003300000000002E-3</v>
      </c>
      <c r="D695">
        <v>983</v>
      </c>
      <c r="E695">
        <v>3.0398323000000001E-2</v>
      </c>
      <c r="F695">
        <v>-3.3698653000000002E-2</v>
      </c>
      <c r="G695">
        <v>3.3698653000000002E-2</v>
      </c>
      <c r="H695">
        <v>9.1517070000000002E-3</v>
      </c>
      <c r="I695">
        <v>2.6201912000000001E-2</v>
      </c>
      <c r="J695">
        <v>0</v>
      </c>
      <c r="K695">
        <v>1</v>
      </c>
      <c r="L695">
        <v>1</v>
      </c>
      <c r="M695">
        <v>5</v>
      </c>
      <c r="N695">
        <v>14.990248449999999</v>
      </c>
      <c r="O695">
        <v>75</v>
      </c>
      <c r="P695">
        <v>-5</v>
      </c>
      <c r="Q695">
        <v>80</v>
      </c>
      <c r="R695">
        <v>-45300</v>
      </c>
      <c r="S695">
        <v>4915</v>
      </c>
      <c r="T695">
        <v>0</v>
      </c>
      <c r="U695">
        <v>0</v>
      </c>
      <c r="V695" t="s">
        <v>34</v>
      </c>
      <c r="W695">
        <v>-45300</v>
      </c>
      <c r="X695">
        <v>4915</v>
      </c>
      <c r="Y695">
        <v>0</v>
      </c>
      <c r="Z695">
        <v>2.6201912000000001E-2</v>
      </c>
      <c r="AA695">
        <v>50215</v>
      </c>
      <c r="AB695">
        <v>0.01</v>
      </c>
      <c r="AC695">
        <v>0</v>
      </c>
      <c r="AD695">
        <v>0</v>
      </c>
      <c r="AE695">
        <v>0</v>
      </c>
      <c r="AF695">
        <v>0</v>
      </c>
      <c r="AG695">
        <v>50215</v>
      </c>
      <c r="AH695">
        <f t="shared" si="10"/>
        <v>0</v>
      </c>
    </row>
    <row r="696" spans="1:34" x14ac:dyDescent="0.25">
      <c r="A696" s="1">
        <v>44515</v>
      </c>
      <c r="B696">
        <v>608</v>
      </c>
      <c r="C696">
        <v>6.6225169999999996E-3</v>
      </c>
      <c r="D696">
        <v>1025</v>
      </c>
      <c r="E696">
        <v>4.2726347999999997E-2</v>
      </c>
      <c r="F696">
        <v>-3.6103831000000003E-2</v>
      </c>
      <c r="G696">
        <v>3.6103831000000003E-2</v>
      </c>
      <c r="H696">
        <v>9.4423289999999993E-3</v>
      </c>
      <c r="I696">
        <v>2.6256978E-2</v>
      </c>
      <c r="J696">
        <v>0</v>
      </c>
      <c r="K696">
        <v>1</v>
      </c>
      <c r="L696">
        <v>0</v>
      </c>
      <c r="M696">
        <v>5</v>
      </c>
      <c r="N696">
        <v>10.876596210000001</v>
      </c>
      <c r="O696">
        <v>-75</v>
      </c>
      <c r="P696">
        <v>5</v>
      </c>
      <c r="Q696">
        <v>80</v>
      </c>
      <c r="R696">
        <v>45600</v>
      </c>
      <c r="S696">
        <v>-5125</v>
      </c>
      <c r="T696">
        <v>300</v>
      </c>
      <c r="U696">
        <v>-210</v>
      </c>
      <c r="V696" t="s">
        <v>37</v>
      </c>
      <c r="W696">
        <v>0</v>
      </c>
      <c r="X696">
        <v>0</v>
      </c>
      <c r="Y696">
        <v>0</v>
      </c>
      <c r="Z696">
        <v>2.6256978E-2</v>
      </c>
      <c r="AA696">
        <v>50725</v>
      </c>
      <c r="AB696">
        <v>0.01</v>
      </c>
      <c r="AC696">
        <v>90</v>
      </c>
      <c r="AD696">
        <v>1.774273E-3</v>
      </c>
      <c r="AE696">
        <v>0</v>
      </c>
      <c r="AF696">
        <v>0</v>
      </c>
      <c r="AG696">
        <v>0</v>
      </c>
      <c r="AH696">
        <f t="shared" si="10"/>
        <v>0</v>
      </c>
    </row>
    <row r="697" spans="1:34" x14ac:dyDescent="0.25">
      <c r="A697" s="1">
        <v>44516</v>
      </c>
      <c r="B697">
        <v>610</v>
      </c>
      <c r="C697">
        <v>3.2894740000000001E-3</v>
      </c>
      <c r="D697">
        <v>1035</v>
      </c>
      <c r="E697">
        <v>9.7560979999999995E-3</v>
      </c>
      <c r="F697">
        <v>-6.4666239999999998E-3</v>
      </c>
      <c r="G697">
        <v>6.4666239999999998E-3</v>
      </c>
      <c r="H697">
        <v>6.4008219999999996E-3</v>
      </c>
      <c r="I697">
        <v>2.5503291000000001E-2</v>
      </c>
      <c r="J697">
        <v>0</v>
      </c>
      <c r="K697">
        <v>1</v>
      </c>
      <c r="L697">
        <v>0</v>
      </c>
      <c r="M697">
        <v>5</v>
      </c>
      <c r="N697">
        <v>5.0322271089999999</v>
      </c>
      <c r="O697">
        <v>-75</v>
      </c>
      <c r="P697">
        <v>5</v>
      </c>
      <c r="Q697">
        <v>80</v>
      </c>
      <c r="R697">
        <v>45750</v>
      </c>
      <c r="S697">
        <v>-5175</v>
      </c>
      <c r="T697">
        <v>450</v>
      </c>
      <c r="U697">
        <v>-260</v>
      </c>
      <c r="V697" t="s">
        <v>37</v>
      </c>
      <c r="W697">
        <v>0</v>
      </c>
      <c r="X697">
        <v>0</v>
      </c>
      <c r="Y697">
        <v>0</v>
      </c>
      <c r="Z697">
        <v>2.5503291000000001E-2</v>
      </c>
      <c r="AA697">
        <v>50925</v>
      </c>
      <c r="AB697">
        <v>0.01</v>
      </c>
      <c r="AC697">
        <v>190</v>
      </c>
      <c r="AD697">
        <v>3.7309769999999999E-3</v>
      </c>
      <c r="AE697">
        <v>0</v>
      </c>
      <c r="AF697">
        <v>0</v>
      </c>
      <c r="AG697">
        <v>0</v>
      </c>
      <c r="AH697">
        <f t="shared" si="10"/>
        <v>0</v>
      </c>
    </row>
    <row r="698" spans="1:34" x14ac:dyDescent="0.25">
      <c r="A698" s="1">
        <v>44517</v>
      </c>
      <c r="B698">
        <v>610</v>
      </c>
      <c r="C698">
        <v>0</v>
      </c>
      <c r="D698">
        <v>1030</v>
      </c>
      <c r="E698">
        <v>-4.830918E-3</v>
      </c>
      <c r="F698">
        <v>4.830918E-3</v>
      </c>
      <c r="G698">
        <v>4.830918E-3</v>
      </c>
      <c r="H698">
        <v>6.3176200000000004E-3</v>
      </c>
      <c r="I698">
        <v>2.1178195E-2</v>
      </c>
      <c r="J698">
        <v>1</v>
      </c>
      <c r="K698">
        <v>0</v>
      </c>
      <c r="L698">
        <v>-1</v>
      </c>
      <c r="M698">
        <v>5</v>
      </c>
      <c r="N698" t="s">
        <v>36</v>
      </c>
      <c r="O698">
        <v>-75</v>
      </c>
      <c r="P698">
        <v>5</v>
      </c>
      <c r="Q698">
        <v>80</v>
      </c>
      <c r="R698">
        <v>45750</v>
      </c>
      <c r="S698">
        <v>-5150</v>
      </c>
      <c r="T698">
        <v>450</v>
      </c>
      <c r="U698">
        <v>-235</v>
      </c>
      <c r="V698" t="s">
        <v>35</v>
      </c>
      <c r="W698">
        <v>45750</v>
      </c>
      <c r="X698">
        <v>-5150</v>
      </c>
      <c r="Y698">
        <v>215</v>
      </c>
      <c r="Z698">
        <v>2.1178195E-2</v>
      </c>
      <c r="AA698">
        <v>50900</v>
      </c>
      <c r="AB698">
        <v>0.01</v>
      </c>
      <c r="AC698">
        <v>215</v>
      </c>
      <c r="AD698">
        <v>4.2239690000000002E-3</v>
      </c>
      <c r="AE698">
        <v>0</v>
      </c>
      <c r="AF698">
        <v>215</v>
      </c>
      <c r="AG698">
        <v>0</v>
      </c>
      <c r="AH698">
        <f t="shared" si="10"/>
        <v>4.2239685658153241E-3</v>
      </c>
    </row>
    <row r="699" spans="1:34" x14ac:dyDescent="0.25">
      <c r="A699" s="1">
        <v>44518</v>
      </c>
      <c r="B699">
        <v>613</v>
      </c>
      <c r="C699">
        <v>4.9180329999999996E-3</v>
      </c>
      <c r="D699">
        <v>1085</v>
      </c>
      <c r="E699">
        <v>5.3398057999999998E-2</v>
      </c>
      <c r="F699">
        <v>-4.8480025000000003E-2</v>
      </c>
      <c r="G699">
        <v>4.8480025000000003E-2</v>
      </c>
      <c r="H699">
        <v>3.9740039999999997E-3</v>
      </c>
      <c r="I699">
        <v>2.3789494000000001E-2</v>
      </c>
      <c r="J699">
        <v>0</v>
      </c>
      <c r="K699">
        <v>1</v>
      </c>
      <c r="L699">
        <v>1</v>
      </c>
      <c r="M699">
        <v>5</v>
      </c>
      <c r="N699">
        <v>19.217784040000002</v>
      </c>
      <c r="O699">
        <v>97</v>
      </c>
      <c r="P699">
        <v>-5</v>
      </c>
      <c r="Q699">
        <v>102</v>
      </c>
      <c r="R699">
        <v>-59461</v>
      </c>
      <c r="S699">
        <v>5425</v>
      </c>
      <c r="T699">
        <v>0</v>
      </c>
      <c r="U699">
        <v>0</v>
      </c>
      <c r="V699" t="s">
        <v>34</v>
      </c>
      <c r="W699">
        <v>-59461</v>
      </c>
      <c r="X699">
        <v>5425</v>
      </c>
      <c r="Y699">
        <v>0</v>
      </c>
      <c r="Z699">
        <v>2.3789494000000001E-2</v>
      </c>
      <c r="AA699">
        <v>64886</v>
      </c>
      <c r="AB699">
        <v>0.01</v>
      </c>
      <c r="AC699">
        <v>0</v>
      </c>
      <c r="AD699">
        <v>0</v>
      </c>
      <c r="AE699">
        <v>0</v>
      </c>
      <c r="AF699">
        <v>0</v>
      </c>
      <c r="AG699">
        <v>64886</v>
      </c>
      <c r="AH699">
        <f t="shared" si="10"/>
        <v>0</v>
      </c>
    </row>
    <row r="700" spans="1:34" x14ac:dyDescent="0.25">
      <c r="A700" s="1">
        <v>44519</v>
      </c>
      <c r="B700">
        <v>618</v>
      </c>
      <c r="C700">
        <v>8.1566069999999997E-3</v>
      </c>
      <c r="D700">
        <v>1090</v>
      </c>
      <c r="E700">
        <v>4.6082950000000001E-3</v>
      </c>
      <c r="F700">
        <v>3.5483120000000001E-3</v>
      </c>
      <c r="G700">
        <v>3.5483120000000001E-3</v>
      </c>
      <c r="H700">
        <v>3.1511349999999998E-3</v>
      </c>
      <c r="I700">
        <v>2.5416193E-2</v>
      </c>
      <c r="J700">
        <v>1</v>
      </c>
      <c r="K700">
        <v>0</v>
      </c>
      <c r="L700">
        <v>-1</v>
      </c>
      <c r="M700">
        <v>5</v>
      </c>
      <c r="N700">
        <v>0.99648039600000005</v>
      </c>
      <c r="O700">
        <v>-97</v>
      </c>
      <c r="P700">
        <v>5</v>
      </c>
      <c r="Q700">
        <v>102</v>
      </c>
      <c r="R700">
        <v>59946</v>
      </c>
      <c r="S700">
        <v>-5450</v>
      </c>
      <c r="T700">
        <v>485</v>
      </c>
      <c r="U700">
        <v>-25</v>
      </c>
      <c r="V700" t="s">
        <v>35</v>
      </c>
      <c r="W700">
        <v>59946</v>
      </c>
      <c r="X700">
        <v>-5450</v>
      </c>
      <c r="Y700">
        <v>460</v>
      </c>
      <c r="Z700">
        <v>2.5416193E-2</v>
      </c>
      <c r="AA700">
        <v>65396</v>
      </c>
      <c r="AB700">
        <v>0.01</v>
      </c>
      <c r="AC700">
        <v>460</v>
      </c>
      <c r="AD700">
        <v>7.0340690000000004E-3</v>
      </c>
      <c r="AE700">
        <v>0</v>
      </c>
      <c r="AF700">
        <v>460</v>
      </c>
      <c r="AG700">
        <v>0</v>
      </c>
      <c r="AH700">
        <f t="shared" si="10"/>
        <v>7.0340693620404918E-3</v>
      </c>
    </row>
    <row r="701" spans="1:34" x14ac:dyDescent="0.25">
      <c r="A701" s="1">
        <v>44522</v>
      </c>
      <c r="B701">
        <v>615</v>
      </c>
      <c r="C701">
        <v>-4.8543689999999999E-3</v>
      </c>
      <c r="D701">
        <v>1080</v>
      </c>
      <c r="E701">
        <v>-9.1743120000000004E-3</v>
      </c>
      <c r="F701">
        <v>4.3199429999999997E-3</v>
      </c>
      <c r="G701">
        <v>4.3199429999999997E-3</v>
      </c>
      <c r="H701">
        <v>4.965077E-3</v>
      </c>
      <c r="I701">
        <v>2.4986538999999999E-2</v>
      </c>
      <c r="J701">
        <v>1</v>
      </c>
      <c r="K701">
        <v>0</v>
      </c>
      <c r="L701">
        <v>0</v>
      </c>
      <c r="M701">
        <v>5</v>
      </c>
      <c r="N701">
        <v>3.31886328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W701">
        <v>0</v>
      </c>
      <c r="X701">
        <v>0</v>
      </c>
      <c r="Y701">
        <v>0</v>
      </c>
      <c r="Z701">
        <v>2.4986538999999999E-2</v>
      </c>
      <c r="AA701">
        <v>0</v>
      </c>
      <c r="AB701" t="s">
        <v>33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f t="shared" si="10"/>
        <v>0</v>
      </c>
    </row>
    <row r="702" spans="1:34" x14ac:dyDescent="0.25">
      <c r="A702" s="1">
        <v>44523</v>
      </c>
      <c r="B702">
        <v>612</v>
      </c>
      <c r="C702">
        <v>-4.8780489999999998E-3</v>
      </c>
      <c r="D702">
        <v>1055</v>
      </c>
      <c r="E702">
        <v>-2.3148148E-2</v>
      </c>
      <c r="F702">
        <v>1.8270099000000001E-2</v>
      </c>
      <c r="G702">
        <v>1.8270099000000001E-2</v>
      </c>
      <c r="H702">
        <v>5.8275949999999997E-3</v>
      </c>
      <c r="I702">
        <v>2.9278670999999999E-2</v>
      </c>
      <c r="J702">
        <v>1</v>
      </c>
      <c r="K702">
        <v>0</v>
      </c>
      <c r="L702">
        <v>0</v>
      </c>
      <c r="M702">
        <v>5</v>
      </c>
      <c r="N702">
        <v>8.1803361779999992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W702">
        <v>0</v>
      </c>
      <c r="X702">
        <v>0</v>
      </c>
      <c r="Y702">
        <v>0</v>
      </c>
      <c r="Z702">
        <v>2.9278670999999999E-2</v>
      </c>
      <c r="AA702">
        <v>0</v>
      </c>
      <c r="AB702" t="s">
        <v>33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f t="shared" si="10"/>
        <v>0</v>
      </c>
    </row>
    <row r="703" spans="1:34" x14ac:dyDescent="0.25">
      <c r="A703" s="1">
        <v>44524</v>
      </c>
      <c r="B703">
        <v>603</v>
      </c>
      <c r="C703">
        <v>-1.4705882E-2</v>
      </c>
      <c r="D703">
        <v>1040</v>
      </c>
      <c r="E703">
        <v>-1.4218009E-2</v>
      </c>
      <c r="F703">
        <v>-4.87873E-4</v>
      </c>
      <c r="G703">
        <v>4.87873E-4</v>
      </c>
      <c r="H703">
        <v>9.0624769999999993E-3</v>
      </c>
      <c r="I703">
        <v>3.0283874999999998E-2</v>
      </c>
      <c r="J703">
        <v>0</v>
      </c>
      <c r="K703">
        <v>0</v>
      </c>
      <c r="L703">
        <v>0</v>
      </c>
      <c r="M703">
        <v>5</v>
      </c>
      <c r="N703">
        <v>1.6674919239999999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W703">
        <v>0</v>
      </c>
      <c r="X703">
        <v>0</v>
      </c>
      <c r="Y703">
        <v>0</v>
      </c>
      <c r="Z703">
        <v>3.0283874999999998E-2</v>
      </c>
      <c r="AA703">
        <v>0</v>
      </c>
      <c r="AB703" t="s">
        <v>33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f t="shared" si="10"/>
        <v>0</v>
      </c>
    </row>
    <row r="704" spans="1:34" x14ac:dyDescent="0.25">
      <c r="A704" s="1">
        <v>44525</v>
      </c>
      <c r="B704">
        <v>603</v>
      </c>
      <c r="C704">
        <v>0</v>
      </c>
      <c r="D704">
        <v>1035</v>
      </c>
      <c r="E704">
        <v>-4.8076919999999997E-3</v>
      </c>
      <c r="F704">
        <v>4.8076919999999997E-3</v>
      </c>
      <c r="G704">
        <v>4.8076919999999997E-3</v>
      </c>
      <c r="H704">
        <v>8.3236830000000001E-3</v>
      </c>
      <c r="I704">
        <v>1.0363202E-2</v>
      </c>
      <c r="J704">
        <v>1</v>
      </c>
      <c r="K704">
        <v>0</v>
      </c>
      <c r="L704">
        <v>0</v>
      </c>
      <c r="M704">
        <v>5</v>
      </c>
      <c r="N704" t="s">
        <v>36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W704">
        <v>0</v>
      </c>
      <c r="X704">
        <v>0</v>
      </c>
      <c r="Y704">
        <v>0</v>
      </c>
      <c r="Z704">
        <v>1.0363202E-2</v>
      </c>
      <c r="AA704">
        <v>0</v>
      </c>
      <c r="AB704" t="s">
        <v>33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f t="shared" si="10"/>
        <v>0</v>
      </c>
    </row>
    <row r="705" spans="1:34" x14ac:dyDescent="0.25">
      <c r="A705" s="1">
        <v>44526</v>
      </c>
      <c r="B705">
        <v>596</v>
      </c>
      <c r="C705">
        <v>-1.1608624E-2</v>
      </c>
      <c r="D705">
        <v>1005</v>
      </c>
      <c r="E705">
        <v>-2.8985507000000001E-2</v>
      </c>
      <c r="F705">
        <v>1.7376883999999999E-2</v>
      </c>
      <c r="G705">
        <v>1.7376883999999999E-2</v>
      </c>
      <c r="H705">
        <v>5.8844550000000002E-3</v>
      </c>
      <c r="I705">
        <v>9.9339119999999996E-3</v>
      </c>
      <c r="J705">
        <v>1</v>
      </c>
      <c r="K705">
        <v>1</v>
      </c>
      <c r="L705">
        <v>1</v>
      </c>
      <c r="M705">
        <v>5</v>
      </c>
      <c r="N705">
        <v>4.2103672520000002</v>
      </c>
      <c r="O705">
        <v>-22</v>
      </c>
      <c r="P705">
        <v>5</v>
      </c>
      <c r="Q705">
        <v>27</v>
      </c>
      <c r="R705">
        <v>13112</v>
      </c>
      <c r="S705">
        <v>-5025</v>
      </c>
      <c r="T705">
        <v>0</v>
      </c>
      <c r="U705">
        <v>0</v>
      </c>
      <c r="V705" t="s">
        <v>34</v>
      </c>
      <c r="W705">
        <v>13112</v>
      </c>
      <c r="X705">
        <v>-5025</v>
      </c>
      <c r="Y705">
        <v>0</v>
      </c>
      <c r="Z705">
        <v>9.9339119999999996E-3</v>
      </c>
      <c r="AA705">
        <v>18137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18137</v>
      </c>
      <c r="AH705">
        <f t="shared" si="10"/>
        <v>0</v>
      </c>
    </row>
    <row r="706" spans="1:34" x14ac:dyDescent="0.25">
      <c r="A706" s="1">
        <v>44529</v>
      </c>
      <c r="B706">
        <v>593</v>
      </c>
      <c r="C706">
        <v>-5.0335570000000001E-3</v>
      </c>
      <c r="D706">
        <v>1030</v>
      </c>
      <c r="E706">
        <v>2.4875622E-2</v>
      </c>
      <c r="F706">
        <v>-2.9909179000000001E-2</v>
      </c>
      <c r="G706">
        <v>2.9909179000000001E-2</v>
      </c>
      <c r="H706">
        <v>5.8670470000000002E-3</v>
      </c>
      <c r="I706">
        <v>2.1163777000000002E-2</v>
      </c>
      <c r="J706">
        <v>0</v>
      </c>
      <c r="K706">
        <v>0</v>
      </c>
      <c r="L706">
        <v>-1</v>
      </c>
      <c r="M706">
        <v>5</v>
      </c>
      <c r="N706">
        <v>8.5838374179999999</v>
      </c>
      <c r="O706">
        <v>22</v>
      </c>
      <c r="P706">
        <v>-5</v>
      </c>
      <c r="Q706">
        <v>27</v>
      </c>
      <c r="R706">
        <v>-13046</v>
      </c>
      <c r="S706">
        <v>5150</v>
      </c>
      <c r="T706">
        <v>66</v>
      </c>
      <c r="U706">
        <v>125</v>
      </c>
      <c r="V706" t="s">
        <v>35</v>
      </c>
      <c r="W706">
        <v>-13046</v>
      </c>
      <c r="X706">
        <v>5150</v>
      </c>
      <c r="Y706">
        <v>191</v>
      </c>
      <c r="Z706">
        <v>2.1163777000000002E-2</v>
      </c>
      <c r="AA706">
        <v>18196</v>
      </c>
      <c r="AB706">
        <v>0</v>
      </c>
      <c r="AC706">
        <v>191</v>
      </c>
      <c r="AD706">
        <v>1.0496811999999999E-2</v>
      </c>
      <c r="AE706">
        <v>0</v>
      </c>
      <c r="AF706">
        <v>191</v>
      </c>
      <c r="AG706">
        <v>0</v>
      </c>
      <c r="AH706">
        <f t="shared" si="10"/>
        <v>1.0496812486260717E-2</v>
      </c>
    </row>
    <row r="707" spans="1:34" x14ac:dyDescent="0.25">
      <c r="A707" s="1">
        <v>44530</v>
      </c>
      <c r="B707">
        <v>596</v>
      </c>
      <c r="C707">
        <v>5.0590219999999998E-3</v>
      </c>
      <c r="D707">
        <v>1010</v>
      </c>
      <c r="E707">
        <v>-1.9417475999999999E-2</v>
      </c>
      <c r="F707">
        <v>2.4476497999999999E-2</v>
      </c>
      <c r="G707">
        <v>2.4476497999999999E-2</v>
      </c>
      <c r="H707">
        <v>8.1198950000000002E-3</v>
      </c>
      <c r="I707">
        <v>2.0610117000000001E-2</v>
      </c>
      <c r="J707">
        <v>1</v>
      </c>
      <c r="K707">
        <v>1</v>
      </c>
      <c r="L707">
        <v>1</v>
      </c>
      <c r="M707">
        <v>5</v>
      </c>
      <c r="N707">
        <v>6.5043113750000003</v>
      </c>
      <c r="O707">
        <v>-33</v>
      </c>
      <c r="P707">
        <v>5</v>
      </c>
      <c r="Q707">
        <v>38</v>
      </c>
      <c r="R707">
        <v>19668</v>
      </c>
      <c r="S707">
        <v>-5050</v>
      </c>
      <c r="T707">
        <v>0</v>
      </c>
      <c r="U707">
        <v>0</v>
      </c>
      <c r="V707" t="s">
        <v>34</v>
      </c>
      <c r="W707">
        <v>19668</v>
      </c>
      <c r="X707">
        <v>-5050</v>
      </c>
      <c r="Y707">
        <v>0</v>
      </c>
      <c r="Z707">
        <v>2.0610117000000001E-2</v>
      </c>
      <c r="AA707">
        <v>24718</v>
      </c>
      <c r="AB707">
        <v>0.01</v>
      </c>
      <c r="AC707">
        <v>0</v>
      </c>
      <c r="AD707">
        <v>0</v>
      </c>
      <c r="AE707">
        <v>0</v>
      </c>
      <c r="AF707">
        <v>0</v>
      </c>
      <c r="AG707">
        <v>24718</v>
      </c>
      <c r="AH707">
        <f t="shared" ref="AH707:AH770" si="11">IF(AF707&lt;&gt;0,AF707/AA707,0)</f>
        <v>0</v>
      </c>
    </row>
    <row r="708" spans="1:34" x14ac:dyDescent="0.25">
      <c r="A708" s="1">
        <v>44531</v>
      </c>
      <c r="B708">
        <v>600</v>
      </c>
      <c r="C708">
        <v>6.7114089999999998E-3</v>
      </c>
      <c r="D708">
        <v>1065</v>
      </c>
      <c r="E708">
        <v>5.4455445999999998E-2</v>
      </c>
      <c r="F708">
        <v>-4.7744035999999997E-2</v>
      </c>
      <c r="G708">
        <v>4.7744035999999997E-2</v>
      </c>
      <c r="H708">
        <v>7.5164280000000003E-3</v>
      </c>
      <c r="I708">
        <v>3.4234664999999997E-2</v>
      </c>
      <c r="J708">
        <v>0</v>
      </c>
      <c r="K708">
        <v>0</v>
      </c>
      <c r="L708">
        <v>-1</v>
      </c>
      <c r="M708">
        <v>5</v>
      </c>
      <c r="N708">
        <v>14.40210396</v>
      </c>
      <c r="O708">
        <v>33</v>
      </c>
      <c r="P708">
        <v>-5</v>
      </c>
      <c r="Q708">
        <v>38</v>
      </c>
      <c r="R708">
        <v>-19800</v>
      </c>
      <c r="S708">
        <v>5325</v>
      </c>
      <c r="T708">
        <v>-132</v>
      </c>
      <c r="U708">
        <v>275</v>
      </c>
      <c r="V708" t="s">
        <v>35</v>
      </c>
      <c r="W708">
        <v>-19800</v>
      </c>
      <c r="X708">
        <v>5325</v>
      </c>
      <c r="Y708">
        <v>143</v>
      </c>
      <c r="Z708">
        <v>3.4234664999999997E-2</v>
      </c>
      <c r="AA708">
        <v>25125</v>
      </c>
      <c r="AB708">
        <v>0.01</v>
      </c>
      <c r="AC708">
        <v>143</v>
      </c>
      <c r="AD708">
        <v>5.691542E-3</v>
      </c>
      <c r="AE708">
        <v>0</v>
      </c>
      <c r="AF708">
        <v>143</v>
      </c>
      <c r="AG708">
        <v>0</v>
      </c>
      <c r="AH708">
        <f t="shared" si="11"/>
        <v>5.6915422885572137E-3</v>
      </c>
    </row>
    <row r="709" spans="1:34" x14ac:dyDescent="0.25">
      <c r="A709" s="1">
        <v>44532</v>
      </c>
      <c r="B709">
        <v>615</v>
      </c>
      <c r="C709">
        <v>2.5000000000000001E-2</v>
      </c>
      <c r="D709">
        <v>1080</v>
      </c>
      <c r="E709">
        <v>1.4084507E-2</v>
      </c>
      <c r="F709">
        <v>1.0915493E-2</v>
      </c>
      <c r="G709">
        <v>1.0915493E-2</v>
      </c>
      <c r="H709">
        <v>1.3916754999999999E-2</v>
      </c>
      <c r="I709">
        <v>3.3891506000000002E-2</v>
      </c>
      <c r="J709">
        <v>1</v>
      </c>
      <c r="K709">
        <v>0</v>
      </c>
      <c r="L709">
        <v>0</v>
      </c>
      <c r="M709">
        <v>5</v>
      </c>
      <c r="N709">
        <v>0.98935073900000003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W709">
        <v>0</v>
      </c>
      <c r="X709">
        <v>0</v>
      </c>
      <c r="Y709">
        <v>0</v>
      </c>
      <c r="Z709">
        <v>3.3891506000000002E-2</v>
      </c>
      <c r="AA709">
        <v>0</v>
      </c>
      <c r="AB709" t="s">
        <v>33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f t="shared" si="11"/>
        <v>0</v>
      </c>
    </row>
    <row r="710" spans="1:34" x14ac:dyDescent="0.25">
      <c r="A710" s="1">
        <v>44533</v>
      </c>
      <c r="B710">
        <v>608</v>
      </c>
      <c r="C710">
        <v>-1.1382114E-2</v>
      </c>
      <c r="D710">
        <v>1060</v>
      </c>
      <c r="E710">
        <v>-1.8518519000000001E-2</v>
      </c>
      <c r="F710">
        <v>7.1364050000000002E-3</v>
      </c>
      <c r="G710">
        <v>7.1364050000000002E-3</v>
      </c>
      <c r="H710">
        <v>1.3853363E-2</v>
      </c>
      <c r="I710">
        <v>3.1172675E-2</v>
      </c>
      <c r="J710">
        <v>1</v>
      </c>
      <c r="K710">
        <v>0</v>
      </c>
      <c r="L710">
        <v>0</v>
      </c>
      <c r="M710">
        <v>5</v>
      </c>
      <c r="N710">
        <v>2.8365183790000001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W710">
        <v>0</v>
      </c>
      <c r="X710">
        <v>0</v>
      </c>
      <c r="Y710">
        <v>0</v>
      </c>
      <c r="Z710">
        <v>3.1172675E-2</v>
      </c>
      <c r="AA710">
        <v>0</v>
      </c>
      <c r="AB710" t="s">
        <v>33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f t="shared" si="11"/>
        <v>0</v>
      </c>
    </row>
    <row r="711" spans="1:34" x14ac:dyDescent="0.25">
      <c r="A711" s="1">
        <v>44536</v>
      </c>
      <c r="B711">
        <v>600</v>
      </c>
      <c r="C711">
        <v>-1.3157894999999999E-2</v>
      </c>
      <c r="D711">
        <v>1085</v>
      </c>
      <c r="E711">
        <v>2.3584905999999999E-2</v>
      </c>
      <c r="F711">
        <v>-3.6742799999999999E-2</v>
      </c>
      <c r="G711">
        <v>3.6742799999999999E-2</v>
      </c>
      <c r="H711">
        <v>1.5559585000000001E-2</v>
      </c>
      <c r="I711">
        <v>3.1035077000000001E-2</v>
      </c>
      <c r="J711">
        <v>0</v>
      </c>
      <c r="K711">
        <v>1</v>
      </c>
      <c r="L711">
        <v>1</v>
      </c>
      <c r="M711">
        <v>5</v>
      </c>
      <c r="N711">
        <v>3.2413522010000002</v>
      </c>
      <c r="O711">
        <v>17</v>
      </c>
      <c r="P711">
        <v>-5</v>
      </c>
      <c r="Q711">
        <v>22</v>
      </c>
      <c r="R711">
        <v>-10200</v>
      </c>
      <c r="S711">
        <v>5425</v>
      </c>
      <c r="T711">
        <v>0</v>
      </c>
      <c r="U711">
        <v>0</v>
      </c>
      <c r="V711" t="s">
        <v>34</v>
      </c>
      <c r="W711">
        <v>-10200</v>
      </c>
      <c r="X711">
        <v>5425</v>
      </c>
      <c r="Y711">
        <v>0</v>
      </c>
      <c r="Z711">
        <v>3.1035077000000001E-2</v>
      </c>
      <c r="AA711">
        <v>15625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15625</v>
      </c>
      <c r="AH711">
        <f t="shared" si="11"/>
        <v>0</v>
      </c>
    </row>
    <row r="712" spans="1:34" x14ac:dyDescent="0.25">
      <c r="A712" s="1">
        <v>44537</v>
      </c>
      <c r="B712">
        <v>607</v>
      </c>
      <c r="C712">
        <v>1.1666667E-2</v>
      </c>
      <c r="D712">
        <v>1065</v>
      </c>
      <c r="E712">
        <v>-1.843318E-2</v>
      </c>
      <c r="F712">
        <v>3.0099846E-2</v>
      </c>
      <c r="G712">
        <v>3.0099846E-2</v>
      </c>
      <c r="H712">
        <v>1.6107935E-2</v>
      </c>
      <c r="I712">
        <v>3.0797398E-2</v>
      </c>
      <c r="J712">
        <v>1</v>
      </c>
      <c r="K712">
        <v>0</v>
      </c>
      <c r="L712">
        <v>-1</v>
      </c>
      <c r="M712">
        <v>5</v>
      </c>
      <c r="N712">
        <v>2.772135054</v>
      </c>
      <c r="O712">
        <v>-17</v>
      </c>
      <c r="P712">
        <v>5</v>
      </c>
      <c r="Q712">
        <v>22</v>
      </c>
      <c r="R712">
        <v>10319</v>
      </c>
      <c r="S712">
        <v>-5325</v>
      </c>
      <c r="T712">
        <v>119</v>
      </c>
      <c r="U712">
        <v>100</v>
      </c>
      <c r="V712" t="s">
        <v>35</v>
      </c>
      <c r="W712">
        <v>10319</v>
      </c>
      <c r="X712">
        <v>-5325</v>
      </c>
      <c r="Y712">
        <v>219</v>
      </c>
      <c r="Z712">
        <v>3.0797398E-2</v>
      </c>
      <c r="AA712">
        <v>15644</v>
      </c>
      <c r="AB712">
        <v>0</v>
      </c>
      <c r="AC712">
        <v>219</v>
      </c>
      <c r="AD712">
        <v>1.3998976999999999E-2</v>
      </c>
      <c r="AE712">
        <v>0</v>
      </c>
      <c r="AF712">
        <v>219</v>
      </c>
      <c r="AG712">
        <v>0</v>
      </c>
      <c r="AH712">
        <f t="shared" si="11"/>
        <v>1.3998977243671695E-2</v>
      </c>
    </row>
    <row r="713" spans="1:34" x14ac:dyDescent="0.25">
      <c r="A713" s="1">
        <v>44538</v>
      </c>
      <c r="B713">
        <v>602</v>
      </c>
      <c r="C713">
        <v>-8.2372320000000006E-3</v>
      </c>
      <c r="D713">
        <v>1095</v>
      </c>
      <c r="E713">
        <v>2.8169013999999999E-2</v>
      </c>
      <c r="F713">
        <v>-3.6406246000000003E-2</v>
      </c>
      <c r="G713">
        <v>3.6406246000000003E-2</v>
      </c>
      <c r="H713">
        <v>1.6797472000000001E-2</v>
      </c>
      <c r="I713">
        <v>2.2715322E-2</v>
      </c>
      <c r="J713">
        <v>0</v>
      </c>
      <c r="K713">
        <v>1</v>
      </c>
      <c r="L713">
        <v>1</v>
      </c>
      <c r="M713">
        <v>5</v>
      </c>
      <c r="N713">
        <v>6.2202517430000004</v>
      </c>
      <c r="O713">
        <v>32</v>
      </c>
      <c r="P713">
        <v>-5</v>
      </c>
      <c r="Q713">
        <v>37</v>
      </c>
      <c r="R713">
        <v>-19264</v>
      </c>
      <c r="S713">
        <v>5475</v>
      </c>
      <c r="T713">
        <v>0</v>
      </c>
      <c r="U713">
        <v>0</v>
      </c>
      <c r="V713" t="s">
        <v>34</v>
      </c>
      <c r="W713">
        <v>-19264</v>
      </c>
      <c r="X713">
        <v>5475</v>
      </c>
      <c r="Y713">
        <v>0</v>
      </c>
      <c r="Z713">
        <v>2.2715322E-2</v>
      </c>
      <c r="AA713">
        <v>24739</v>
      </c>
      <c r="AB713">
        <v>0.01</v>
      </c>
      <c r="AC713">
        <v>0</v>
      </c>
      <c r="AD713">
        <v>0</v>
      </c>
      <c r="AE713">
        <v>0</v>
      </c>
      <c r="AF713">
        <v>0</v>
      </c>
      <c r="AG713">
        <v>24739</v>
      </c>
      <c r="AH713">
        <f t="shared" si="11"/>
        <v>0</v>
      </c>
    </row>
    <row r="714" spans="1:34" x14ac:dyDescent="0.25">
      <c r="A714" s="1">
        <v>44539</v>
      </c>
      <c r="B714">
        <v>608</v>
      </c>
      <c r="C714">
        <v>9.9667769999999996E-3</v>
      </c>
      <c r="D714">
        <v>1085</v>
      </c>
      <c r="E714">
        <v>-9.1324200000000005E-3</v>
      </c>
      <c r="F714">
        <v>1.9099196999999998E-2</v>
      </c>
      <c r="G714">
        <v>1.9099196999999998E-2</v>
      </c>
      <c r="H714">
        <v>1.2053481E-2</v>
      </c>
      <c r="I714">
        <v>2.2964268999999999E-2</v>
      </c>
      <c r="J714">
        <v>1</v>
      </c>
      <c r="K714">
        <v>0</v>
      </c>
      <c r="L714">
        <v>-1</v>
      </c>
      <c r="M714">
        <v>5</v>
      </c>
      <c r="N714">
        <v>1.635148802</v>
      </c>
      <c r="O714">
        <v>-32</v>
      </c>
      <c r="P714">
        <v>5</v>
      </c>
      <c r="Q714">
        <v>37</v>
      </c>
      <c r="R714">
        <v>19456</v>
      </c>
      <c r="S714">
        <v>-5425</v>
      </c>
      <c r="T714">
        <v>192</v>
      </c>
      <c r="U714">
        <v>50</v>
      </c>
      <c r="V714" t="s">
        <v>35</v>
      </c>
      <c r="W714">
        <v>19456</v>
      </c>
      <c r="X714">
        <v>-5425</v>
      </c>
      <c r="Y714">
        <v>242</v>
      </c>
      <c r="Z714">
        <v>2.2964268999999999E-2</v>
      </c>
      <c r="AA714">
        <v>24881</v>
      </c>
      <c r="AB714">
        <v>0.01</v>
      </c>
      <c r="AC714">
        <v>242</v>
      </c>
      <c r="AD714">
        <v>9.7262970000000001E-3</v>
      </c>
      <c r="AE714">
        <v>0</v>
      </c>
      <c r="AF714">
        <v>242</v>
      </c>
      <c r="AG714">
        <v>0</v>
      </c>
      <c r="AH714">
        <f t="shared" si="11"/>
        <v>9.7262971745508617E-3</v>
      </c>
    </row>
    <row r="715" spans="1:34" x14ac:dyDescent="0.25">
      <c r="A715" s="1">
        <v>44540</v>
      </c>
      <c r="B715">
        <v>605</v>
      </c>
      <c r="C715">
        <v>-4.934211E-3</v>
      </c>
      <c r="D715">
        <v>1075</v>
      </c>
      <c r="E715">
        <v>-9.2165900000000002E-3</v>
      </c>
      <c r="F715">
        <v>4.2823790000000002E-3</v>
      </c>
      <c r="G715">
        <v>4.2823790000000002E-3</v>
      </c>
      <c r="H715">
        <v>1.1139638E-2</v>
      </c>
      <c r="I715">
        <v>2.12899E-2</v>
      </c>
      <c r="J715">
        <v>1</v>
      </c>
      <c r="K715">
        <v>0</v>
      </c>
      <c r="L715">
        <v>0</v>
      </c>
      <c r="M715">
        <v>5</v>
      </c>
      <c r="N715">
        <v>3.3189879520000001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W715">
        <v>0</v>
      </c>
      <c r="X715">
        <v>0</v>
      </c>
      <c r="Y715">
        <v>0</v>
      </c>
      <c r="Z715">
        <v>2.12899E-2</v>
      </c>
      <c r="AA715">
        <v>0</v>
      </c>
      <c r="AB715" t="s">
        <v>33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f t="shared" si="11"/>
        <v>0</v>
      </c>
    </row>
    <row r="716" spans="1:34" x14ac:dyDescent="0.25">
      <c r="A716" s="1">
        <v>44543</v>
      </c>
      <c r="B716">
        <v>601</v>
      </c>
      <c r="C716">
        <v>-6.6115699999999998E-3</v>
      </c>
      <c r="D716">
        <v>1075</v>
      </c>
      <c r="E716">
        <v>0</v>
      </c>
      <c r="F716">
        <v>-6.6115699999999998E-3</v>
      </c>
      <c r="G716">
        <v>6.6115699999999998E-3</v>
      </c>
      <c r="H716">
        <v>9.6264509999999994E-3</v>
      </c>
      <c r="I716">
        <v>1.7935890999999999E-2</v>
      </c>
      <c r="J716">
        <v>0</v>
      </c>
      <c r="K716">
        <v>0</v>
      </c>
      <c r="L716">
        <v>0</v>
      </c>
      <c r="M716">
        <v>5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W716">
        <v>0</v>
      </c>
      <c r="X716">
        <v>0</v>
      </c>
      <c r="Y716">
        <v>0</v>
      </c>
      <c r="Z716">
        <v>1.7935890999999999E-2</v>
      </c>
      <c r="AA716">
        <v>0</v>
      </c>
      <c r="AB716" t="s">
        <v>33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f t="shared" si="11"/>
        <v>0</v>
      </c>
    </row>
    <row r="717" spans="1:34" x14ac:dyDescent="0.25">
      <c r="A717" s="1">
        <v>44544</v>
      </c>
      <c r="B717">
        <v>599</v>
      </c>
      <c r="C717">
        <v>-3.327787E-3</v>
      </c>
      <c r="D717">
        <v>1070</v>
      </c>
      <c r="E717">
        <v>-4.6511629999999998E-3</v>
      </c>
      <c r="F717">
        <v>1.323376E-3</v>
      </c>
      <c r="G717">
        <v>1.323376E-3</v>
      </c>
      <c r="H717">
        <v>7.2761429999999997E-3</v>
      </c>
      <c r="I717">
        <v>1.5637534000000002E-2</v>
      </c>
      <c r="J717">
        <v>1</v>
      </c>
      <c r="K717">
        <v>0</v>
      </c>
      <c r="L717">
        <v>0</v>
      </c>
      <c r="M717">
        <v>5</v>
      </c>
      <c r="N717">
        <v>2.4966805139999999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W717">
        <v>0</v>
      </c>
      <c r="X717">
        <v>0</v>
      </c>
      <c r="Y717">
        <v>0</v>
      </c>
      <c r="Z717">
        <v>1.5637534000000002E-2</v>
      </c>
      <c r="AA717">
        <v>0</v>
      </c>
      <c r="AB717" t="s">
        <v>33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f t="shared" si="11"/>
        <v>0</v>
      </c>
    </row>
    <row r="718" spans="1:34" x14ac:dyDescent="0.25">
      <c r="A718" s="1">
        <v>44545</v>
      </c>
      <c r="B718">
        <v>600</v>
      </c>
      <c r="C718">
        <v>1.6694489999999999E-3</v>
      </c>
      <c r="D718">
        <v>1060</v>
      </c>
      <c r="E718">
        <v>-9.3457939999999993E-3</v>
      </c>
      <c r="F718">
        <v>1.1015242999999999E-2</v>
      </c>
      <c r="G718">
        <v>1.1015242999999999E-2</v>
      </c>
      <c r="H718">
        <v>6.6925539999999999E-3</v>
      </c>
      <c r="I718">
        <v>4.1252729999999996E-3</v>
      </c>
      <c r="J718">
        <v>1</v>
      </c>
      <c r="K718">
        <v>1</v>
      </c>
      <c r="L718">
        <v>1</v>
      </c>
      <c r="M718">
        <v>5</v>
      </c>
      <c r="N718">
        <v>9.8900311530000007</v>
      </c>
      <c r="O718">
        <v>-50</v>
      </c>
      <c r="P718">
        <v>5</v>
      </c>
      <c r="Q718">
        <v>55</v>
      </c>
      <c r="R718">
        <v>30000</v>
      </c>
      <c r="S718">
        <v>-5300</v>
      </c>
      <c r="T718">
        <v>0</v>
      </c>
      <c r="U718">
        <v>0</v>
      </c>
      <c r="V718" t="s">
        <v>34</v>
      </c>
      <c r="W718">
        <v>30000</v>
      </c>
      <c r="X718">
        <v>-5300</v>
      </c>
      <c r="Y718">
        <v>0</v>
      </c>
      <c r="Z718">
        <v>6.6925539999999999E-3</v>
      </c>
      <c r="AA718">
        <v>35300</v>
      </c>
      <c r="AB718">
        <v>0.01</v>
      </c>
      <c r="AC718">
        <v>0</v>
      </c>
      <c r="AD718">
        <v>0</v>
      </c>
      <c r="AE718">
        <v>0</v>
      </c>
      <c r="AF718">
        <v>0</v>
      </c>
      <c r="AG718">
        <v>35300</v>
      </c>
      <c r="AH718">
        <f t="shared" si="11"/>
        <v>0</v>
      </c>
    </row>
    <row r="719" spans="1:34" x14ac:dyDescent="0.25">
      <c r="A719" s="1">
        <v>44546</v>
      </c>
      <c r="B719">
        <v>605</v>
      </c>
      <c r="C719">
        <v>8.3333330000000001E-3</v>
      </c>
      <c r="D719">
        <v>1090</v>
      </c>
      <c r="E719">
        <v>2.8301887000000001E-2</v>
      </c>
      <c r="F719">
        <v>-1.9968553E-2</v>
      </c>
      <c r="G719">
        <v>1.9968553E-2</v>
      </c>
      <c r="H719">
        <v>6.0543380000000003E-3</v>
      </c>
      <c r="I719">
        <v>1.5730076999999999E-2</v>
      </c>
      <c r="J719">
        <v>0</v>
      </c>
      <c r="K719">
        <v>0</v>
      </c>
      <c r="L719">
        <v>-1</v>
      </c>
      <c r="M719">
        <v>5</v>
      </c>
      <c r="N719">
        <v>6.1188211450000001</v>
      </c>
      <c r="O719">
        <v>50</v>
      </c>
      <c r="P719">
        <v>-5</v>
      </c>
      <c r="Q719">
        <v>55</v>
      </c>
      <c r="R719">
        <v>-30250</v>
      </c>
      <c r="S719">
        <v>5450</v>
      </c>
      <c r="T719">
        <v>-250</v>
      </c>
      <c r="U719">
        <v>150</v>
      </c>
      <c r="V719" t="s">
        <v>35</v>
      </c>
      <c r="W719">
        <v>-30250</v>
      </c>
      <c r="X719">
        <v>5450</v>
      </c>
      <c r="Y719">
        <v>-100</v>
      </c>
      <c r="Z719">
        <v>1.5730076999999999E-2</v>
      </c>
      <c r="AA719">
        <v>35700</v>
      </c>
      <c r="AB719">
        <v>0.01</v>
      </c>
      <c r="AC719">
        <v>-100</v>
      </c>
      <c r="AD719">
        <v>-2.8011199999999998E-3</v>
      </c>
      <c r="AE719">
        <v>0</v>
      </c>
      <c r="AF719">
        <v>-100</v>
      </c>
      <c r="AG719">
        <v>0</v>
      </c>
      <c r="AH719">
        <f t="shared" si="11"/>
        <v>-2.8011204481792717E-3</v>
      </c>
    </row>
    <row r="720" spans="1:34" x14ac:dyDescent="0.25">
      <c r="A720" s="1">
        <v>44547</v>
      </c>
      <c r="B720">
        <v>607</v>
      </c>
      <c r="C720">
        <v>3.3057849999999999E-3</v>
      </c>
      <c r="D720">
        <v>1075</v>
      </c>
      <c r="E720">
        <v>-1.3761468000000001E-2</v>
      </c>
      <c r="F720">
        <v>1.7067253000000001E-2</v>
      </c>
      <c r="G720">
        <v>1.7067253000000001E-2</v>
      </c>
      <c r="H720">
        <v>5.8240109999999996E-3</v>
      </c>
      <c r="I720">
        <v>1.6577793E-2</v>
      </c>
      <c r="J720">
        <v>1</v>
      </c>
      <c r="K720">
        <v>1</v>
      </c>
      <c r="L720">
        <v>1</v>
      </c>
      <c r="M720">
        <v>5</v>
      </c>
      <c r="N720">
        <v>7.3724173630000003</v>
      </c>
      <c r="O720">
        <v>-37</v>
      </c>
      <c r="P720">
        <v>5</v>
      </c>
      <c r="Q720">
        <v>42</v>
      </c>
      <c r="R720">
        <v>22459</v>
      </c>
      <c r="S720">
        <v>-5375</v>
      </c>
      <c r="T720">
        <v>0</v>
      </c>
      <c r="U720">
        <v>0</v>
      </c>
      <c r="V720" t="s">
        <v>34</v>
      </c>
      <c r="W720">
        <v>22459</v>
      </c>
      <c r="X720">
        <v>-5375</v>
      </c>
      <c r="Y720">
        <v>0</v>
      </c>
      <c r="Z720">
        <v>1.6577793E-2</v>
      </c>
      <c r="AA720">
        <v>27834</v>
      </c>
      <c r="AB720">
        <v>0.01</v>
      </c>
      <c r="AC720">
        <v>0</v>
      </c>
      <c r="AD720">
        <v>0</v>
      </c>
      <c r="AE720">
        <v>0</v>
      </c>
      <c r="AF720">
        <v>0</v>
      </c>
      <c r="AG720">
        <v>27834</v>
      </c>
      <c r="AH720">
        <f t="shared" si="11"/>
        <v>0</v>
      </c>
    </row>
    <row r="721" spans="1:34" x14ac:dyDescent="0.25">
      <c r="A721" s="1">
        <v>44550</v>
      </c>
      <c r="B721">
        <v>598</v>
      </c>
      <c r="C721">
        <v>-1.4827018000000001E-2</v>
      </c>
      <c r="D721">
        <v>1055</v>
      </c>
      <c r="E721">
        <v>-1.8604651E-2</v>
      </c>
      <c r="F721">
        <v>3.7776329999999999E-3</v>
      </c>
      <c r="G721">
        <v>3.7776329999999999E-3</v>
      </c>
      <c r="H721">
        <v>8.7945599999999999E-3</v>
      </c>
      <c r="I721">
        <v>1.8575815999999998E-2</v>
      </c>
      <c r="J721">
        <v>1</v>
      </c>
      <c r="K721">
        <v>1</v>
      </c>
      <c r="L721">
        <v>0</v>
      </c>
      <c r="M721">
        <v>5</v>
      </c>
      <c r="N721">
        <v>2.21370114</v>
      </c>
      <c r="O721">
        <v>37</v>
      </c>
      <c r="P721">
        <v>-5</v>
      </c>
      <c r="Q721">
        <v>42</v>
      </c>
      <c r="R721">
        <v>-22126</v>
      </c>
      <c r="S721">
        <v>5275</v>
      </c>
      <c r="T721">
        <v>333</v>
      </c>
      <c r="U721">
        <v>-100</v>
      </c>
      <c r="V721" t="s">
        <v>37</v>
      </c>
      <c r="W721">
        <v>0</v>
      </c>
      <c r="X721">
        <v>0</v>
      </c>
      <c r="Y721">
        <v>0</v>
      </c>
      <c r="Z721">
        <v>1.8575815999999998E-2</v>
      </c>
      <c r="AA721">
        <v>27401</v>
      </c>
      <c r="AB721">
        <v>0.01</v>
      </c>
      <c r="AC721">
        <v>233</v>
      </c>
      <c r="AD721">
        <v>8.5033390000000004E-3</v>
      </c>
      <c r="AE721">
        <v>0</v>
      </c>
      <c r="AF721">
        <v>0</v>
      </c>
      <c r="AG721">
        <v>0</v>
      </c>
      <c r="AH721">
        <f t="shared" si="11"/>
        <v>0</v>
      </c>
    </row>
    <row r="722" spans="1:34" x14ac:dyDescent="0.25">
      <c r="A722" s="1">
        <v>44551</v>
      </c>
      <c r="B722">
        <v>597</v>
      </c>
      <c r="C722">
        <v>-1.6722410000000001E-3</v>
      </c>
      <c r="D722">
        <v>1090</v>
      </c>
      <c r="E722">
        <v>3.3175354999999997E-2</v>
      </c>
      <c r="F722">
        <v>-3.4847596000000002E-2</v>
      </c>
      <c r="G722">
        <v>3.4847596000000002E-2</v>
      </c>
      <c r="H722">
        <v>8.7143629999999993E-3</v>
      </c>
      <c r="I722">
        <v>2.4730155E-2</v>
      </c>
      <c r="J722">
        <v>0</v>
      </c>
      <c r="K722">
        <v>0</v>
      </c>
      <c r="L722">
        <v>-1</v>
      </c>
      <c r="M722">
        <v>5</v>
      </c>
      <c r="N722">
        <v>36.22170886</v>
      </c>
      <c r="O722">
        <v>37</v>
      </c>
      <c r="P722">
        <v>-5</v>
      </c>
      <c r="Q722">
        <v>42</v>
      </c>
      <c r="R722">
        <v>-22089</v>
      </c>
      <c r="S722">
        <v>5450</v>
      </c>
      <c r="T722">
        <v>370</v>
      </c>
      <c r="U722">
        <v>75</v>
      </c>
      <c r="V722" t="s">
        <v>35</v>
      </c>
      <c r="W722">
        <v>-22089</v>
      </c>
      <c r="X722">
        <v>5450</v>
      </c>
      <c r="Y722">
        <v>445</v>
      </c>
      <c r="Z722">
        <v>2.4730155E-2</v>
      </c>
      <c r="AA722">
        <v>27539</v>
      </c>
      <c r="AB722">
        <v>0.01</v>
      </c>
      <c r="AC722">
        <v>445</v>
      </c>
      <c r="AD722">
        <v>1.6158901999999999E-2</v>
      </c>
      <c r="AE722">
        <v>0</v>
      </c>
      <c r="AF722">
        <v>445</v>
      </c>
      <c r="AG722">
        <v>0</v>
      </c>
      <c r="AH722">
        <f t="shared" si="11"/>
        <v>1.6158901920912162E-2</v>
      </c>
    </row>
    <row r="723" spans="1:34" x14ac:dyDescent="0.25">
      <c r="A723" s="1">
        <v>44552</v>
      </c>
      <c r="B723">
        <v>600</v>
      </c>
      <c r="C723">
        <v>5.0251260000000004E-3</v>
      </c>
      <c r="D723">
        <v>1085</v>
      </c>
      <c r="E723">
        <v>-4.5871560000000002E-3</v>
      </c>
      <c r="F723">
        <v>9.6122819999999998E-3</v>
      </c>
      <c r="G723">
        <v>9.6122819999999998E-3</v>
      </c>
      <c r="H723">
        <v>9.0589179999999991E-3</v>
      </c>
      <c r="I723">
        <v>2.4175757999999999E-2</v>
      </c>
      <c r="J723">
        <v>1</v>
      </c>
      <c r="K723">
        <v>0</v>
      </c>
      <c r="L723">
        <v>0</v>
      </c>
      <c r="M723">
        <v>5</v>
      </c>
      <c r="N723">
        <v>1.6507263000000001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W723">
        <v>0</v>
      </c>
      <c r="X723">
        <v>0</v>
      </c>
      <c r="Y723">
        <v>0</v>
      </c>
      <c r="Z723">
        <v>2.4175757999999999E-2</v>
      </c>
      <c r="AA723">
        <v>0</v>
      </c>
      <c r="AB723" t="s">
        <v>33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f t="shared" si="11"/>
        <v>0</v>
      </c>
    </row>
    <row r="724" spans="1:34" x14ac:dyDescent="0.25">
      <c r="A724" s="1">
        <v>44553</v>
      </c>
      <c r="B724">
        <v>606</v>
      </c>
      <c r="C724">
        <v>0.01</v>
      </c>
      <c r="D724">
        <v>1095</v>
      </c>
      <c r="E724">
        <v>9.2165900000000002E-3</v>
      </c>
      <c r="F724">
        <v>7.8341000000000001E-4</v>
      </c>
      <c r="G724">
        <v>7.8341000000000001E-4</v>
      </c>
      <c r="H724">
        <v>9.4623720000000001E-3</v>
      </c>
      <c r="I724">
        <v>2.0833787999999999E-2</v>
      </c>
      <c r="J724">
        <v>1</v>
      </c>
      <c r="K724">
        <v>0</v>
      </c>
      <c r="L724">
        <v>0</v>
      </c>
      <c r="M724">
        <v>5</v>
      </c>
      <c r="N724">
        <v>1.6653739110000001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W724">
        <v>0</v>
      </c>
      <c r="X724">
        <v>0</v>
      </c>
      <c r="Y724">
        <v>0</v>
      </c>
      <c r="Z724">
        <v>2.0833787999999999E-2</v>
      </c>
      <c r="AA724">
        <v>0</v>
      </c>
      <c r="AB724" t="s">
        <v>33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f t="shared" si="11"/>
        <v>0</v>
      </c>
    </row>
    <row r="725" spans="1:34" x14ac:dyDescent="0.25">
      <c r="A725" s="1">
        <v>44554</v>
      </c>
      <c r="B725">
        <v>604</v>
      </c>
      <c r="C725">
        <v>-3.3003300000000002E-3</v>
      </c>
      <c r="D725">
        <v>1120</v>
      </c>
      <c r="E725">
        <v>2.2831049999999999E-2</v>
      </c>
      <c r="F725">
        <v>-2.6131379999999999E-2</v>
      </c>
      <c r="G725">
        <v>2.6131379999999999E-2</v>
      </c>
      <c r="H725">
        <v>9.4103910000000006E-3</v>
      </c>
      <c r="I725">
        <v>2.0740404E-2</v>
      </c>
      <c r="J725">
        <v>0</v>
      </c>
      <c r="K725">
        <v>1</v>
      </c>
      <c r="L725">
        <v>1</v>
      </c>
      <c r="M725">
        <v>5</v>
      </c>
      <c r="N725">
        <v>12.82772385</v>
      </c>
      <c r="O725">
        <v>65</v>
      </c>
      <c r="P725">
        <v>-5</v>
      </c>
      <c r="Q725">
        <v>70</v>
      </c>
      <c r="R725">
        <v>-39260</v>
      </c>
      <c r="S725">
        <v>5600</v>
      </c>
      <c r="T725">
        <v>0</v>
      </c>
      <c r="U725">
        <v>0</v>
      </c>
      <c r="V725" t="s">
        <v>34</v>
      </c>
      <c r="W725">
        <v>-39260</v>
      </c>
      <c r="X725">
        <v>5600</v>
      </c>
      <c r="Y725">
        <v>0</v>
      </c>
      <c r="Z725">
        <v>2.0740404E-2</v>
      </c>
      <c r="AA725">
        <v>44860</v>
      </c>
      <c r="AB725">
        <v>0.01</v>
      </c>
      <c r="AC725">
        <v>0</v>
      </c>
      <c r="AD725">
        <v>0</v>
      </c>
      <c r="AE725">
        <v>0</v>
      </c>
      <c r="AF725">
        <v>0</v>
      </c>
      <c r="AG725">
        <v>44860</v>
      </c>
      <c r="AH725">
        <f t="shared" si="11"/>
        <v>0</v>
      </c>
    </row>
    <row r="726" spans="1:34" x14ac:dyDescent="0.25">
      <c r="A726" s="1">
        <v>44557</v>
      </c>
      <c r="B726">
        <v>606</v>
      </c>
      <c r="C726">
        <v>3.3112580000000001E-3</v>
      </c>
      <c r="D726">
        <v>1145</v>
      </c>
      <c r="E726">
        <v>2.2321429E-2</v>
      </c>
      <c r="F726">
        <v>-1.901017E-2</v>
      </c>
      <c r="G726">
        <v>1.901017E-2</v>
      </c>
      <c r="H726">
        <v>5.3429059999999997E-3</v>
      </c>
      <c r="I726">
        <v>1.4574919E-2</v>
      </c>
      <c r="J726">
        <v>0</v>
      </c>
      <c r="K726">
        <v>1</v>
      </c>
      <c r="L726">
        <v>0</v>
      </c>
      <c r="M726">
        <v>5</v>
      </c>
      <c r="N726">
        <v>12.736842879999999</v>
      </c>
      <c r="O726">
        <v>-65</v>
      </c>
      <c r="P726">
        <v>5</v>
      </c>
      <c r="Q726">
        <v>70</v>
      </c>
      <c r="R726">
        <v>39390</v>
      </c>
      <c r="S726">
        <v>-5725</v>
      </c>
      <c r="T726">
        <v>130</v>
      </c>
      <c r="U726">
        <v>-125</v>
      </c>
      <c r="V726" t="s">
        <v>37</v>
      </c>
      <c r="W726">
        <v>0</v>
      </c>
      <c r="X726">
        <v>0</v>
      </c>
      <c r="Y726">
        <v>0</v>
      </c>
      <c r="Z726">
        <v>1.4574919E-2</v>
      </c>
      <c r="AA726">
        <v>45115</v>
      </c>
      <c r="AB726">
        <v>0.01</v>
      </c>
      <c r="AC726">
        <v>5</v>
      </c>
      <c r="AD726">
        <v>1.10828E-4</v>
      </c>
      <c r="AE726">
        <v>0</v>
      </c>
      <c r="AF726">
        <v>0</v>
      </c>
      <c r="AG726">
        <v>0</v>
      </c>
      <c r="AH726">
        <f t="shared" si="11"/>
        <v>0</v>
      </c>
    </row>
    <row r="727" spans="1:34" x14ac:dyDescent="0.25">
      <c r="A727" s="1">
        <v>44558</v>
      </c>
      <c r="B727">
        <v>615</v>
      </c>
      <c r="C727">
        <v>1.4851484999999999E-2</v>
      </c>
      <c r="D727">
        <v>1175</v>
      </c>
      <c r="E727">
        <v>2.6200873E-2</v>
      </c>
      <c r="F727">
        <v>-1.1349388E-2</v>
      </c>
      <c r="G727">
        <v>1.1349388E-2</v>
      </c>
      <c r="H727">
        <v>6.8742660000000004E-3</v>
      </c>
      <c r="I727">
        <v>1.2818927000000001E-2</v>
      </c>
      <c r="J727">
        <v>0</v>
      </c>
      <c r="K727">
        <v>1</v>
      </c>
      <c r="L727">
        <v>0</v>
      </c>
      <c r="M727">
        <v>5</v>
      </c>
      <c r="N727">
        <v>3.3706109990000002</v>
      </c>
      <c r="O727">
        <v>-65</v>
      </c>
      <c r="P727">
        <v>5</v>
      </c>
      <c r="Q727">
        <v>70</v>
      </c>
      <c r="R727">
        <v>39975</v>
      </c>
      <c r="S727">
        <v>-5875</v>
      </c>
      <c r="T727">
        <v>715</v>
      </c>
      <c r="U727">
        <v>-275</v>
      </c>
      <c r="V727" t="s">
        <v>37</v>
      </c>
      <c r="W727">
        <v>0</v>
      </c>
      <c r="X727">
        <v>0</v>
      </c>
      <c r="Y727">
        <v>0</v>
      </c>
      <c r="Z727">
        <v>1.2818927000000001E-2</v>
      </c>
      <c r="AA727">
        <v>45850</v>
      </c>
      <c r="AB727">
        <v>0.01</v>
      </c>
      <c r="AC727">
        <v>440</v>
      </c>
      <c r="AD727">
        <v>9.5965100000000008E-3</v>
      </c>
      <c r="AE727">
        <v>0</v>
      </c>
      <c r="AF727">
        <v>0</v>
      </c>
      <c r="AG727">
        <v>0</v>
      </c>
      <c r="AH727">
        <f t="shared" si="11"/>
        <v>0</v>
      </c>
    </row>
    <row r="728" spans="1:34" x14ac:dyDescent="0.25">
      <c r="A728" s="1">
        <v>44559</v>
      </c>
      <c r="B728">
        <v>616</v>
      </c>
      <c r="C728">
        <v>1.6260160000000001E-3</v>
      </c>
      <c r="D728">
        <v>1185</v>
      </c>
      <c r="E728">
        <v>8.5106379999999992E-3</v>
      </c>
      <c r="F728">
        <v>-6.884622E-3</v>
      </c>
      <c r="G728">
        <v>6.884622E-3</v>
      </c>
      <c r="H728">
        <v>7.1543650000000002E-3</v>
      </c>
      <c r="I728">
        <v>8.3110670000000001E-3</v>
      </c>
      <c r="J728">
        <v>0</v>
      </c>
      <c r="K728">
        <v>1</v>
      </c>
      <c r="L728">
        <v>0</v>
      </c>
      <c r="M728">
        <v>5</v>
      </c>
      <c r="N728">
        <v>10.06873446</v>
      </c>
      <c r="O728">
        <v>-65</v>
      </c>
      <c r="P728">
        <v>5</v>
      </c>
      <c r="Q728">
        <v>70</v>
      </c>
      <c r="R728">
        <v>40040</v>
      </c>
      <c r="S728">
        <v>-5925</v>
      </c>
      <c r="T728">
        <v>780</v>
      </c>
      <c r="U728">
        <v>-325</v>
      </c>
      <c r="V728" t="s">
        <v>37</v>
      </c>
      <c r="W728">
        <v>0</v>
      </c>
      <c r="X728">
        <v>0</v>
      </c>
      <c r="Y728">
        <v>0</v>
      </c>
      <c r="Z728">
        <v>8.3110670000000001E-3</v>
      </c>
      <c r="AA728">
        <v>45965</v>
      </c>
      <c r="AB728">
        <v>0.01</v>
      </c>
      <c r="AC728">
        <v>455</v>
      </c>
      <c r="AD728">
        <v>9.8988359999999994E-3</v>
      </c>
      <c r="AE728">
        <v>0</v>
      </c>
      <c r="AF728">
        <v>0</v>
      </c>
      <c r="AG728">
        <v>0</v>
      </c>
      <c r="AH728">
        <f t="shared" si="11"/>
        <v>0</v>
      </c>
    </row>
    <row r="729" spans="1:34" x14ac:dyDescent="0.25">
      <c r="A729" s="1">
        <v>44560</v>
      </c>
      <c r="B729">
        <v>615</v>
      </c>
      <c r="C729">
        <v>-1.6233770000000001E-3</v>
      </c>
      <c r="D729">
        <v>1190</v>
      </c>
      <c r="E729">
        <v>4.2194090000000004E-3</v>
      </c>
      <c r="F729">
        <v>-5.842786E-3</v>
      </c>
      <c r="G729">
        <v>5.842786E-3</v>
      </c>
      <c r="H729">
        <v>7.1328210000000001E-3</v>
      </c>
      <c r="I729">
        <v>9.7752180000000004E-3</v>
      </c>
      <c r="J729">
        <v>0</v>
      </c>
      <c r="K729">
        <v>1</v>
      </c>
      <c r="L729">
        <v>0</v>
      </c>
      <c r="M729">
        <v>5</v>
      </c>
      <c r="N729">
        <v>5.0292614320000002</v>
      </c>
      <c r="O729">
        <v>-65</v>
      </c>
      <c r="P729">
        <v>5</v>
      </c>
      <c r="Q729">
        <v>70</v>
      </c>
      <c r="R729">
        <v>39975</v>
      </c>
      <c r="S729">
        <v>-5950</v>
      </c>
      <c r="T729">
        <v>715</v>
      </c>
      <c r="U729">
        <v>-350</v>
      </c>
      <c r="V729" t="s">
        <v>37</v>
      </c>
      <c r="W729">
        <v>0</v>
      </c>
      <c r="X729">
        <v>0</v>
      </c>
      <c r="Y729">
        <v>0</v>
      </c>
      <c r="Z729">
        <v>9.7752180000000004E-3</v>
      </c>
      <c r="AA729">
        <v>45925</v>
      </c>
      <c r="AB729">
        <v>0.01</v>
      </c>
      <c r="AC729">
        <v>365</v>
      </c>
      <c r="AD729">
        <v>7.9477409999999995E-3</v>
      </c>
      <c r="AE729">
        <v>0</v>
      </c>
      <c r="AF729">
        <v>0</v>
      </c>
      <c r="AG729">
        <v>0</v>
      </c>
      <c r="AH729">
        <f t="shared" si="11"/>
        <v>0</v>
      </c>
    </row>
    <row r="730" spans="1:34" x14ac:dyDescent="0.25">
      <c r="A730" s="1">
        <v>44564</v>
      </c>
      <c r="B730">
        <v>631</v>
      </c>
      <c r="C730">
        <v>2.6016259999999999E-2</v>
      </c>
      <c r="D730">
        <v>1150</v>
      </c>
      <c r="E730">
        <v>-3.3613444999999999E-2</v>
      </c>
      <c r="F730">
        <v>5.9629705999999998E-2</v>
      </c>
      <c r="G730">
        <v>5.9629705999999998E-2</v>
      </c>
      <c r="H730">
        <v>1.1437358E-2</v>
      </c>
      <c r="I730">
        <v>2.3727874999999999E-2</v>
      </c>
      <c r="J730">
        <v>1</v>
      </c>
      <c r="K730">
        <v>0</v>
      </c>
      <c r="L730">
        <v>-1</v>
      </c>
      <c r="M730">
        <v>5</v>
      </c>
      <c r="N730">
        <v>2.3547057489999998</v>
      </c>
      <c r="O730">
        <v>-65</v>
      </c>
      <c r="P730">
        <v>5</v>
      </c>
      <c r="Q730">
        <v>70</v>
      </c>
      <c r="R730">
        <v>41015</v>
      </c>
      <c r="S730">
        <v>-5750</v>
      </c>
      <c r="T730">
        <v>1755</v>
      </c>
      <c r="U730">
        <v>-150</v>
      </c>
      <c r="V730" t="s">
        <v>35</v>
      </c>
      <c r="W730">
        <v>41015</v>
      </c>
      <c r="X730">
        <v>-5750</v>
      </c>
      <c r="Y730">
        <v>1605</v>
      </c>
      <c r="Z730">
        <v>2.3727874999999999E-2</v>
      </c>
      <c r="AA730">
        <v>46765</v>
      </c>
      <c r="AB730">
        <v>0.01</v>
      </c>
      <c r="AC730">
        <v>1605</v>
      </c>
      <c r="AD730">
        <v>3.4320538999999997E-2</v>
      </c>
      <c r="AE730">
        <v>0</v>
      </c>
      <c r="AF730">
        <v>1605</v>
      </c>
      <c r="AG730">
        <v>0</v>
      </c>
      <c r="AH730">
        <f t="shared" si="11"/>
        <v>3.4320538864535441E-2</v>
      </c>
    </row>
    <row r="731" spans="1:34" x14ac:dyDescent="0.25">
      <c r="A731" s="1">
        <v>44565</v>
      </c>
      <c r="B731">
        <v>656</v>
      </c>
      <c r="C731">
        <v>3.9619650999999999E-2</v>
      </c>
      <c r="D731">
        <v>1165</v>
      </c>
      <c r="E731">
        <v>1.3043478000000001E-2</v>
      </c>
      <c r="F731">
        <v>2.6576173000000002E-2</v>
      </c>
      <c r="G731">
        <v>2.6576173000000002E-2</v>
      </c>
      <c r="H731">
        <v>1.7151379000000001E-2</v>
      </c>
      <c r="I731">
        <v>2.2412558999999999E-2</v>
      </c>
      <c r="J731">
        <v>1</v>
      </c>
      <c r="K731">
        <v>1</v>
      </c>
      <c r="L731">
        <v>1</v>
      </c>
      <c r="M731">
        <v>5</v>
      </c>
      <c r="N731">
        <v>0.58466198300000005</v>
      </c>
      <c r="O731">
        <v>-3</v>
      </c>
      <c r="P731">
        <v>5</v>
      </c>
      <c r="Q731">
        <v>8</v>
      </c>
      <c r="R731">
        <v>1968</v>
      </c>
      <c r="S731">
        <v>-5825</v>
      </c>
      <c r="T731">
        <v>0</v>
      </c>
      <c r="U731">
        <v>0</v>
      </c>
      <c r="V731" t="s">
        <v>34</v>
      </c>
      <c r="W731">
        <v>1968</v>
      </c>
      <c r="X731">
        <v>-5825</v>
      </c>
      <c r="Y731">
        <v>0</v>
      </c>
      <c r="Z731">
        <v>2.2412558999999999E-2</v>
      </c>
      <c r="AA731">
        <v>7793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7793</v>
      </c>
      <c r="AH731">
        <f t="shared" si="11"/>
        <v>0</v>
      </c>
    </row>
    <row r="732" spans="1:34" x14ac:dyDescent="0.25">
      <c r="A732" s="1">
        <v>44566</v>
      </c>
      <c r="B732">
        <v>650</v>
      </c>
      <c r="C732">
        <v>-9.1463410000000005E-3</v>
      </c>
      <c r="D732">
        <v>1175</v>
      </c>
      <c r="E732">
        <v>8.5836909999999992E-3</v>
      </c>
      <c r="F732">
        <v>-1.7730032E-2</v>
      </c>
      <c r="G732">
        <v>1.7730032E-2</v>
      </c>
      <c r="H732">
        <v>2.0598686000000001E-2</v>
      </c>
      <c r="I732">
        <v>1.9129817E-2</v>
      </c>
      <c r="J732">
        <v>0</v>
      </c>
      <c r="K732">
        <v>0</v>
      </c>
      <c r="L732">
        <v>-1</v>
      </c>
      <c r="M732">
        <v>5</v>
      </c>
      <c r="N732">
        <v>1.69648949</v>
      </c>
      <c r="O732">
        <v>3</v>
      </c>
      <c r="P732">
        <v>-5</v>
      </c>
      <c r="Q732">
        <v>8</v>
      </c>
      <c r="R732">
        <v>-1950</v>
      </c>
      <c r="S732">
        <v>5875</v>
      </c>
      <c r="T732">
        <v>18</v>
      </c>
      <c r="U732">
        <v>50</v>
      </c>
      <c r="V732" t="s">
        <v>35</v>
      </c>
      <c r="W732">
        <v>-1950</v>
      </c>
      <c r="X732">
        <v>5875</v>
      </c>
      <c r="Y732">
        <v>68</v>
      </c>
      <c r="Z732">
        <v>2.0598686000000001E-2</v>
      </c>
      <c r="AA732">
        <v>7825</v>
      </c>
      <c r="AB732">
        <v>0</v>
      </c>
      <c r="AC732">
        <v>68</v>
      </c>
      <c r="AD732">
        <v>8.6900959999999996E-3</v>
      </c>
      <c r="AE732">
        <v>0</v>
      </c>
      <c r="AF732">
        <v>68</v>
      </c>
      <c r="AG732">
        <v>0</v>
      </c>
      <c r="AH732">
        <f t="shared" si="11"/>
        <v>8.6900958466453668E-3</v>
      </c>
    </row>
    <row r="733" spans="1:34" x14ac:dyDescent="0.25">
      <c r="A733" s="1">
        <v>44567</v>
      </c>
      <c r="B733">
        <v>644</v>
      </c>
      <c r="C733">
        <v>-9.2307689999999998E-3</v>
      </c>
      <c r="D733">
        <v>1135</v>
      </c>
      <c r="E733">
        <v>-3.4042553000000003E-2</v>
      </c>
      <c r="F733">
        <v>2.4811784E-2</v>
      </c>
      <c r="G733">
        <v>2.4811784E-2</v>
      </c>
      <c r="H733">
        <v>2.2369298999999999E-2</v>
      </c>
      <c r="I733">
        <v>2.3456178000000001E-2</v>
      </c>
      <c r="J733">
        <v>1</v>
      </c>
      <c r="K733">
        <v>1</v>
      </c>
      <c r="L733">
        <v>1</v>
      </c>
      <c r="M733">
        <v>5</v>
      </c>
      <c r="N733">
        <v>6.4997136690000001</v>
      </c>
      <c r="O733">
        <v>-33</v>
      </c>
      <c r="P733">
        <v>5</v>
      </c>
      <c r="Q733">
        <v>38</v>
      </c>
      <c r="R733">
        <v>21252</v>
      </c>
      <c r="S733">
        <v>-5675</v>
      </c>
      <c r="T733">
        <v>0</v>
      </c>
      <c r="U733">
        <v>0</v>
      </c>
      <c r="V733" t="s">
        <v>34</v>
      </c>
      <c r="W733">
        <v>21252</v>
      </c>
      <c r="X733">
        <v>-5675</v>
      </c>
      <c r="Y733">
        <v>0</v>
      </c>
      <c r="Z733">
        <v>2.3456178000000001E-2</v>
      </c>
      <c r="AA733">
        <v>26927</v>
      </c>
      <c r="AB733">
        <v>0.01</v>
      </c>
      <c r="AC733">
        <v>0</v>
      </c>
      <c r="AD733">
        <v>0</v>
      </c>
      <c r="AE733">
        <v>0</v>
      </c>
      <c r="AF733">
        <v>0</v>
      </c>
      <c r="AG733">
        <v>26927</v>
      </c>
      <c r="AH733">
        <f t="shared" si="11"/>
        <v>0</v>
      </c>
    </row>
    <row r="734" spans="1:34" x14ac:dyDescent="0.25">
      <c r="A734" s="1">
        <v>44568</v>
      </c>
      <c r="B734">
        <v>634</v>
      </c>
      <c r="C734">
        <v>-1.552795E-2</v>
      </c>
      <c r="D734">
        <v>1100</v>
      </c>
      <c r="E734">
        <v>-3.0837004000000001E-2</v>
      </c>
      <c r="F734">
        <v>1.5309054000000001E-2</v>
      </c>
      <c r="G734">
        <v>1.5309054000000001E-2</v>
      </c>
      <c r="H734">
        <v>2.4774852E-2</v>
      </c>
      <c r="I734">
        <v>2.3988646999999998E-2</v>
      </c>
      <c r="J734">
        <v>1</v>
      </c>
      <c r="K734">
        <v>1</v>
      </c>
      <c r="L734">
        <v>0</v>
      </c>
      <c r="M734">
        <v>5</v>
      </c>
      <c r="N734">
        <v>3.4455731740000002</v>
      </c>
      <c r="O734">
        <v>33</v>
      </c>
      <c r="P734">
        <v>-5</v>
      </c>
      <c r="Q734">
        <v>38</v>
      </c>
      <c r="R734">
        <v>-20922</v>
      </c>
      <c r="S734">
        <v>5500</v>
      </c>
      <c r="T734">
        <v>330</v>
      </c>
      <c r="U734">
        <v>-175</v>
      </c>
      <c r="V734" t="s">
        <v>37</v>
      </c>
      <c r="W734">
        <v>0</v>
      </c>
      <c r="X734">
        <v>0</v>
      </c>
      <c r="Y734">
        <v>0</v>
      </c>
      <c r="Z734">
        <v>2.4774852E-2</v>
      </c>
      <c r="AA734">
        <v>26422</v>
      </c>
      <c r="AB734">
        <v>0.01</v>
      </c>
      <c r="AC734">
        <v>155</v>
      </c>
      <c r="AD734">
        <v>5.866324E-3</v>
      </c>
      <c r="AE734">
        <v>0</v>
      </c>
      <c r="AF734">
        <v>0</v>
      </c>
      <c r="AG734">
        <v>0</v>
      </c>
      <c r="AH734">
        <f t="shared" si="11"/>
        <v>0</v>
      </c>
    </row>
    <row r="735" spans="1:34" x14ac:dyDescent="0.25">
      <c r="A735" s="1">
        <v>44571</v>
      </c>
      <c r="B735">
        <v>643</v>
      </c>
      <c r="C735">
        <v>1.4195584000000001E-2</v>
      </c>
      <c r="D735">
        <v>1095</v>
      </c>
      <c r="E735">
        <v>-4.5454550000000003E-3</v>
      </c>
      <c r="F735">
        <v>1.8741038000000002E-2</v>
      </c>
      <c r="G735">
        <v>1.8741038000000002E-2</v>
      </c>
      <c r="H735">
        <v>2.2923395999999999E-2</v>
      </c>
      <c r="I735">
        <v>2.1893849999999999E-2</v>
      </c>
      <c r="J735">
        <v>1</v>
      </c>
      <c r="K735">
        <v>1</v>
      </c>
      <c r="L735">
        <v>0</v>
      </c>
      <c r="M735">
        <v>5</v>
      </c>
      <c r="N735">
        <v>0.54528959899999996</v>
      </c>
      <c r="O735">
        <v>33</v>
      </c>
      <c r="P735">
        <v>-5</v>
      </c>
      <c r="Q735">
        <v>38</v>
      </c>
      <c r="R735">
        <v>-21219</v>
      </c>
      <c r="S735">
        <v>5475</v>
      </c>
      <c r="T735">
        <v>33</v>
      </c>
      <c r="U735">
        <v>-200</v>
      </c>
      <c r="V735" t="s">
        <v>37</v>
      </c>
      <c r="W735">
        <v>0</v>
      </c>
      <c r="X735">
        <v>0</v>
      </c>
      <c r="Y735">
        <v>0</v>
      </c>
      <c r="Z735">
        <v>2.2923395999999999E-2</v>
      </c>
      <c r="AA735">
        <v>26694</v>
      </c>
      <c r="AB735">
        <v>0.01</v>
      </c>
      <c r="AC735">
        <v>-167</v>
      </c>
      <c r="AD735">
        <v>-6.2560879999999999E-3</v>
      </c>
      <c r="AE735">
        <v>0</v>
      </c>
      <c r="AF735">
        <v>0</v>
      </c>
      <c r="AG735">
        <v>0</v>
      </c>
      <c r="AH735">
        <f t="shared" si="11"/>
        <v>0</v>
      </c>
    </row>
    <row r="736" spans="1:34" x14ac:dyDescent="0.25">
      <c r="A736" s="1">
        <v>44572</v>
      </c>
      <c r="B736">
        <v>651</v>
      </c>
      <c r="C736">
        <v>1.244168E-2</v>
      </c>
      <c r="D736">
        <v>1080</v>
      </c>
      <c r="E736">
        <v>-1.369863E-2</v>
      </c>
      <c r="F736">
        <v>2.614031E-2</v>
      </c>
      <c r="G736">
        <v>2.614031E-2</v>
      </c>
      <c r="H736">
        <v>1.3745233000000001E-2</v>
      </c>
      <c r="I736">
        <v>1.7892518E-2</v>
      </c>
      <c r="J736">
        <v>1</v>
      </c>
      <c r="K736">
        <v>1</v>
      </c>
      <c r="L736">
        <v>0</v>
      </c>
      <c r="M736">
        <v>5</v>
      </c>
      <c r="N736">
        <v>1.82658923</v>
      </c>
      <c r="O736">
        <v>33</v>
      </c>
      <c r="P736">
        <v>-5</v>
      </c>
      <c r="Q736">
        <v>38</v>
      </c>
      <c r="R736">
        <v>-21483</v>
      </c>
      <c r="S736">
        <v>5400</v>
      </c>
      <c r="T736">
        <v>-231</v>
      </c>
      <c r="U736">
        <v>-275</v>
      </c>
      <c r="V736" t="s">
        <v>37</v>
      </c>
      <c r="W736">
        <v>0</v>
      </c>
      <c r="X736">
        <v>0</v>
      </c>
      <c r="Y736">
        <v>0</v>
      </c>
      <c r="Z736">
        <v>1.7892518E-2</v>
      </c>
      <c r="AA736">
        <v>26883</v>
      </c>
      <c r="AB736">
        <v>0.01</v>
      </c>
      <c r="AC736">
        <v>-506</v>
      </c>
      <c r="AD736">
        <v>-1.8822304000000002E-2</v>
      </c>
      <c r="AE736">
        <v>1</v>
      </c>
      <c r="AF736">
        <v>-506</v>
      </c>
      <c r="AG736">
        <v>0</v>
      </c>
      <c r="AH736">
        <f t="shared" si="11"/>
        <v>-1.8822304058326824E-2</v>
      </c>
    </row>
    <row r="737" spans="1:34" x14ac:dyDescent="0.25">
      <c r="A737" s="1">
        <v>44573</v>
      </c>
      <c r="B737">
        <v>660</v>
      </c>
      <c r="C737">
        <v>1.3824885E-2</v>
      </c>
      <c r="D737">
        <v>1085</v>
      </c>
      <c r="E737">
        <v>4.62963E-3</v>
      </c>
      <c r="F737">
        <v>9.1952549999999994E-3</v>
      </c>
      <c r="G737">
        <v>9.1952549999999994E-3</v>
      </c>
      <c r="H737">
        <v>1.4356551E-2</v>
      </c>
      <c r="I737">
        <v>1.6638068999999998E-2</v>
      </c>
      <c r="J737">
        <v>1</v>
      </c>
      <c r="K737">
        <v>1</v>
      </c>
      <c r="L737">
        <v>0</v>
      </c>
      <c r="M737">
        <v>5</v>
      </c>
      <c r="N737">
        <v>0.55051674100000003</v>
      </c>
      <c r="O737">
        <v>33</v>
      </c>
      <c r="P737">
        <v>-5</v>
      </c>
      <c r="Q737">
        <v>38</v>
      </c>
      <c r="R737">
        <v>-21780</v>
      </c>
      <c r="S737">
        <v>5425</v>
      </c>
      <c r="T737">
        <v>-528</v>
      </c>
      <c r="U737">
        <v>-250</v>
      </c>
      <c r="V737" t="s">
        <v>37</v>
      </c>
      <c r="W737">
        <v>0</v>
      </c>
      <c r="X737">
        <v>0</v>
      </c>
      <c r="Y737">
        <v>0</v>
      </c>
      <c r="Z737">
        <v>1.6638068999999998E-2</v>
      </c>
      <c r="AA737">
        <v>27205</v>
      </c>
      <c r="AB737">
        <v>0.01</v>
      </c>
      <c r="AC737">
        <v>-778</v>
      </c>
      <c r="AD737">
        <v>-2.8597684000000002E-2</v>
      </c>
      <c r="AE737">
        <v>1</v>
      </c>
      <c r="AF737">
        <v>0</v>
      </c>
      <c r="AG737">
        <v>0</v>
      </c>
      <c r="AH737">
        <f t="shared" si="11"/>
        <v>0</v>
      </c>
    </row>
    <row r="738" spans="1:34" x14ac:dyDescent="0.25">
      <c r="A738" s="1">
        <v>44574</v>
      </c>
      <c r="B738">
        <v>661</v>
      </c>
      <c r="C738">
        <v>1.5151520000000001E-3</v>
      </c>
      <c r="D738">
        <v>1100</v>
      </c>
      <c r="E738">
        <v>1.3824885E-2</v>
      </c>
      <c r="F738">
        <v>-1.2309733E-2</v>
      </c>
      <c r="G738">
        <v>1.2309733E-2</v>
      </c>
      <c r="H738">
        <v>1.2756731E-2</v>
      </c>
      <c r="I738">
        <v>1.7206089000000001E-2</v>
      </c>
      <c r="J738">
        <v>0</v>
      </c>
      <c r="K738">
        <v>0</v>
      </c>
      <c r="L738">
        <v>-1</v>
      </c>
      <c r="M738">
        <v>5</v>
      </c>
      <c r="N738">
        <v>15.18436666</v>
      </c>
      <c r="O738">
        <v>33</v>
      </c>
      <c r="P738">
        <v>-5</v>
      </c>
      <c r="Q738">
        <v>38</v>
      </c>
      <c r="R738">
        <v>-21813</v>
      </c>
      <c r="S738">
        <v>5500</v>
      </c>
      <c r="T738">
        <v>-561</v>
      </c>
      <c r="U738">
        <v>-175</v>
      </c>
      <c r="V738" t="s">
        <v>35</v>
      </c>
      <c r="W738">
        <v>-21813</v>
      </c>
      <c r="X738">
        <v>5500</v>
      </c>
      <c r="Y738">
        <v>-736</v>
      </c>
      <c r="Z738">
        <v>1.7206089000000001E-2</v>
      </c>
      <c r="AA738">
        <v>27313</v>
      </c>
      <c r="AB738">
        <v>0.01</v>
      </c>
      <c r="AC738">
        <v>-736</v>
      </c>
      <c r="AD738">
        <v>-2.6946874999999999E-2</v>
      </c>
      <c r="AE738">
        <v>1</v>
      </c>
      <c r="AF738">
        <v>0</v>
      </c>
      <c r="AG738">
        <v>0</v>
      </c>
      <c r="AH738">
        <f t="shared" si="11"/>
        <v>0</v>
      </c>
    </row>
    <row r="739" spans="1:34" x14ac:dyDescent="0.25">
      <c r="A739" s="1">
        <v>44575</v>
      </c>
      <c r="B739">
        <v>672</v>
      </c>
      <c r="C739">
        <v>1.6641452000000001E-2</v>
      </c>
      <c r="D739">
        <v>1065</v>
      </c>
      <c r="E739">
        <v>-3.1818182E-2</v>
      </c>
      <c r="F739">
        <v>4.8459634000000001E-2</v>
      </c>
      <c r="G739">
        <v>4.8459634000000001E-2</v>
      </c>
      <c r="H739">
        <v>5.9042239999999996E-3</v>
      </c>
      <c r="I739">
        <v>1.7560333000000001E-2</v>
      </c>
      <c r="J739">
        <v>1</v>
      </c>
      <c r="K739">
        <v>1</v>
      </c>
      <c r="L739">
        <v>1</v>
      </c>
      <c r="M739">
        <v>5</v>
      </c>
      <c r="N739">
        <v>3.0301523760000002</v>
      </c>
      <c r="O739">
        <v>-16</v>
      </c>
      <c r="P739">
        <v>5</v>
      </c>
      <c r="Q739">
        <v>21</v>
      </c>
      <c r="R739">
        <v>10752</v>
      </c>
      <c r="S739">
        <v>-5325</v>
      </c>
      <c r="T739">
        <v>0</v>
      </c>
      <c r="U739">
        <v>0</v>
      </c>
      <c r="V739" t="s">
        <v>34</v>
      </c>
      <c r="W739">
        <v>10752</v>
      </c>
      <c r="X739">
        <v>-5325</v>
      </c>
      <c r="Y739">
        <v>0</v>
      </c>
      <c r="Z739">
        <v>1.7560333000000001E-2</v>
      </c>
      <c r="AA739">
        <v>16077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16077</v>
      </c>
      <c r="AH739">
        <f t="shared" si="11"/>
        <v>0</v>
      </c>
    </row>
    <row r="740" spans="1:34" x14ac:dyDescent="0.25">
      <c r="A740" s="1">
        <v>44578</v>
      </c>
      <c r="B740">
        <v>683</v>
      </c>
      <c r="C740">
        <v>1.6369048000000001E-2</v>
      </c>
      <c r="D740">
        <v>1115</v>
      </c>
      <c r="E740">
        <v>4.6948357000000003E-2</v>
      </c>
      <c r="F740">
        <v>-3.0579308999999999E-2</v>
      </c>
      <c r="G740">
        <v>3.0579308999999999E-2</v>
      </c>
      <c r="H740">
        <v>6.2041010000000001E-3</v>
      </c>
      <c r="I740">
        <v>2.9739146000000001E-2</v>
      </c>
      <c r="J740">
        <v>0</v>
      </c>
      <c r="K740">
        <v>0</v>
      </c>
      <c r="L740">
        <v>-1</v>
      </c>
      <c r="M740">
        <v>5</v>
      </c>
      <c r="N740">
        <v>4.6822128029999996</v>
      </c>
      <c r="O740">
        <v>16</v>
      </c>
      <c r="P740">
        <v>-5</v>
      </c>
      <c r="Q740">
        <v>21</v>
      </c>
      <c r="R740">
        <v>-10928</v>
      </c>
      <c r="S740">
        <v>5575</v>
      </c>
      <c r="T740">
        <v>-176</v>
      </c>
      <c r="U740">
        <v>250</v>
      </c>
      <c r="V740" t="s">
        <v>35</v>
      </c>
      <c r="W740">
        <v>-10928</v>
      </c>
      <c r="X740">
        <v>5575</v>
      </c>
      <c r="Y740">
        <v>74</v>
      </c>
      <c r="Z740">
        <v>2.9739146000000001E-2</v>
      </c>
      <c r="AA740">
        <v>16503</v>
      </c>
      <c r="AB740">
        <v>0</v>
      </c>
      <c r="AC740">
        <v>74</v>
      </c>
      <c r="AD740">
        <v>4.4840330000000001E-3</v>
      </c>
      <c r="AE740">
        <v>0</v>
      </c>
      <c r="AF740">
        <v>74</v>
      </c>
      <c r="AG740">
        <v>0</v>
      </c>
      <c r="AH740">
        <f t="shared" si="11"/>
        <v>4.4840332060837422E-3</v>
      </c>
    </row>
    <row r="741" spans="1:34" x14ac:dyDescent="0.25">
      <c r="A741" s="1">
        <v>44579</v>
      </c>
      <c r="B741">
        <v>662</v>
      </c>
      <c r="C741">
        <v>-3.0746705999999999E-2</v>
      </c>
      <c r="D741">
        <v>1105</v>
      </c>
      <c r="E741">
        <v>-8.9686100000000001E-3</v>
      </c>
      <c r="F741">
        <v>-2.1778096E-2</v>
      </c>
      <c r="G741">
        <v>2.1778096E-2</v>
      </c>
      <c r="H741">
        <v>2.0135092E-2</v>
      </c>
      <c r="I741">
        <v>2.9104774E-2</v>
      </c>
      <c r="J741">
        <v>0</v>
      </c>
      <c r="K741">
        <v>0</v>
      </c>
      <c r="L741">
        <v>0</v>
      </c>
      <c r="M741">
        <v>5</v>
      </c>
      <c r="N741">
        <v>0.486889972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W741">
        <v>0</v>
      </c>
      <c r="X741">
        <v>0</v>
      </c>
      <c r="Y741">
        <v>0</v>
      </c>
      <c r="Z741">
        <v>2.9104774E-2</v>
      </c>
      <c r="AA741">
        <v>0</v>
      </c>
      <c r="AB741" t="s">
        <v>33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f t="shared" si="11"/>
        <v>0</v>
      </c>
    </row>
    <row r="742" spans="1:34" x14ac:dyDescent="0.25">
      <c r="A742" s="1">
        <v>44580</v>
      </c>
      <c r="B742">
        <v>654</v>
      </c>
      <c r="C742">
        <v>-1.2084592E-2</v>
      </c>
      <c r="D742">
        <v>1100</v>
      </c>
      <c r="E742">
        <v>-4.524887E-3</v>
      </c>
      <c r="F742">
        <v>-7.5597049999999999E-3</v>
      </c>
      <c r="G742">
        <v>7.5597049999999999E-3</v>
      </c>
      <c r="H742">
        <v>2.0154279000000001E-2</v>
      </c>
      <c r="I742">
        <v>2.9414158999999999E-2</v>
      </c>
      <c r="J742">
        <v>0</v>
      </c>
      <c r="K742">
        <v>0</v>
      </c>
      <c r="L742">
        <v>0</v>
      </c>
      <c r="M742">
        <v>5</v>
      </c>
      <c r="N742">
        <v>0.62978261199999996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W742">
        <v>0</v>
      </c>
      <c r="X742">
        <v>0</v>
      </c>
      <c r="Y742">
        <v>0</v>
      </c>
      <c r="Z742">
        <v>2.9414158999999999E-2</v>
      </c>
      <c r="AA742">
        <v>0</v>
      </c>
      <c r="AB742" t="s">
        <v>33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f t="shared" si="11"/>
        <v>0</v>
      </c>
    </row>
    <row r="743" spans="1:34" x14ac:dyDescent="0.25">
      <c r="A743" s="1">
        <v>44581</v>
      </c>
      <c r="B743">
        <v>651</v>
      </c>
      <c r="C743">
        <v>-4.5871560000000002E-3</v>
      </c>
      <c r="D743">
        <v>1090</v>
      </c>
      <c r="E743">
        <v>-9.0909089999999994E-3</v>
      </c>
      <c r="F743">
        <v>4.5037530000000001E-3</v>
      </c>
      <c r="G743">
        <v>4.5037530000000001E-3</v>
      </c>
      <c r="H743">
        <v>2.0098538999999999E-2</v>
      </c>
      <c r="I743">
        <v>2.9107503E-2</v>
      </c>
      <c r="J743">
        <v>1</v>
      </c>
      <c r="K743">
        <v>0</v>
      </c>
      <c r="L743">
        <v>0</v>
      </c>
      <c r="M743">
        <v>5</v>
      </c>
      <c r="N743">
        <v>3.3182516409999998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W743">
        <v>0</v>
      </c>
      <c r="X743">
        <v>0</v>
      </c>
      <c r="Y743">
        <v>0</v>
      </c>
      <c r="Z743">
        <v>2.9107503E-2</v>
      </c>
      <c r="AA743">
        <v>0</v>
      </c>
      <c r="AB743" t="s">
        <v>33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f t="shared" si="11"/>
        <v>0</v>
      </c>
    </row>
    <row r="744" spans="1:34" x14ac:dyDescent="0.25">
      <c r="A744" s="1">
        <v>44582</v>
      </c>
      <c r="B744">
        <v>641</v>
      </c>
      <c r="C744">
        <v>-1.5360983E-2</v>
      </c>
      <c r="D744">
        <v>1070</v>
      </c>
      <c r="E744">
        <v>-1.8348624000000001E-2</v>
      </c>
      <c r="F744">
        <v>2.9876410000000001E-3</v>
      </c>
      <c r="G744">
        <v>2.9876410000000001E-3</v>
      </c>
      <c r="H744">
        <v>1.7215981000000002E-2</v>
      </c>
      <c r="I744">
        <v>2.6063090000000001E-2</v>
      </c>
      <c r="J744">
        <v>1</v>
      </c>
      <c r="K744">
        <v>0</v>
      </c>
      <c r="L744">
        <v>0</v>
      </c>
      <c r="M744">
        <v>5</v>
      </c>
      <c r="N744">
        <v>1.9939315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W744">
        <v>0</v>
      </c>
      <c r="X744">
        <v>0</v>
      </c>
      <c r="Y744">
        <v>0</v>
      </c>
      <c r="Z744">
        <v>2.6063090000000001E-2</v>
      </c>
      <c r="AA744">
        <v>0</v>
      </c>
      <c r="AB744" t="s">
        <v>33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f t="shared" si="11"/>
        <v>0</v>
      </c>
    </row>
    <row r="745" spans="1:34" x14ac:dyDescent="0.25">
      <c r="A745" s="1">
        <v>44585</v>
      </c>
      <c r="B745">
        <v>653</v>
      </c>
      <c r="C745">
        <v>1.8720748999999998E-2</v>
      </c>
      <c r="D745">
        <v>1090</v>
      </c>
      <c r="E745">
        <v>1.8691589000000002E-2</v>
      </c>
      <c r="F745" s="2">
        <v>2.9200000000000002E-5</v>
      </c>
      <c r="G745" s="2">
        <v>2.9200000000000002E-5</v>
      </c>
      <c r="H745">
        <v>1.8101325000000001E-2</v>
      </c>
      <c r="I745">
        <v>1.3880439E-2</v>
      </c>
      <c r="J745">
        <v>1</v>
      </c>
      <c r="K745">
        <v>0</v>
      </c>
      <c r="L745">
        <v>0</v>
      </c>
      <c r="M745">
        <v>5</v>
      </c>
      <c r="N745">
        <v>1.6666189600000001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W745">
        <v>0</v>
      </c>
      <c r="X745">
        <v>0</v>
      </c>
      <c r="Y745">
        <v>0</v>
      </c>
      <c r="Z745">
        <v>1.8101325000000001E-2</v>
      </c>
      <c r="AA745">
        <v>0</v>
      </c>
      <c r="AB745" t="s">
        <v>33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f t="shared" si="11"/>
        <v>0</v>
      </c>
    </row>
    <row r="746" spans="1:34" x14ac:dyDescent="0.25">
      <c r="A746" s="1">
        <v>44586</v>
      </c>
      <c r="B746">
        <v>641</v>
      </c>
      <c r="C746">
        <v>-1.8376723000000001E-2</v>
      </c>
      <c r="D746">
        <v>1085</v>
      </c>
      <c r="E746">
        <v>-4.5871560000000002E-3</v>
      </c>
      <c r="F746">
        <v>-1.3789567000000001E-2</v>
      </c>
      <c r="G746">
        <v>1.3789567000000001E-2</v>
      </c>
      <c r="H746">
        <v>1.4919574E-2</v>
      </c>
      <c r="I746">
        <v>1.3660279000000001E-2</v>
      </c>
      <c r="J746">
        <v>0</v>
      </c>
      <c r="K746">
        <v>0</v>
      </c>
      <c r="L746">
        <v>0</v>
      </c>
      <c r="M746">
        <v>5</v>
      </c>
      <c r="N746">
        <v>0.42251988200000001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W746">
        <v>0</v>
      </c>
      <c r="X746">
        <v>0</v>
      </c>
      <c r="Y746">
        <v>0</v>
      </c>
      <c r="Z746">
        <v>1.4919574E-2</v>
      </c>
      <c r="AA746">
        <v>0</v>
      </c>
      <c r="AB746" t="s">
        <v>33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f t="shared" si="11"/>
        <v>0</v>
      </c>
    </row>
    <row r="747" spans="1:34" x14ac:dyDescent="0.25">
      <c r="A747" s="1">
        <v>44587</v>
      </c>
      <c r="B747">
        <v>636</v>
      </c>
      <c r="C747">
        <v>-7.8003120000000002E-3</v>
      </c>
      <c r="D747">
        <v>1075</v>
      </c>
      <c r="E747">
        <v>-9.2165900000000002E-3</v>
      </c>
      <c r="F747">
        <v>1.416278E-3</v>
      </c>
      <c r="G747">
        <v>1.416278E-3</v>
      </c>
      <c r="H747">
        <v>1.4627171E-2</v>
      </c>
      <c r="I747">
        <v>1.3901113999999999E-2</v>
      </c>
      <c r="J747">
        <v>1</v>
      </c>
      <c r="K747">
        <v>0</v>
      </c>
      <c r="L747">
        <v>0</v>
      </c>
      <c r="M747">
        <v>5</v>
      </c>
      <c r="N747">
        <v>1.9971451760000001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W747">
        <v>0</v>
      </c>
      <c r="X747">
        <v>0</v>
      </c>
      <c r="Y747">
        <v>0</v>
      </c>
      <c r="Z747">
        <v>1.4627171E-2</v>
      </c>
      <c r="AA747">
        <v>0</v>
      </c>
      <c r="AB747" t="s">
        <v>33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f t="shared" si="11"/>
        <v>0</v>
      </c>
    </row>
    <row r="748" spans="1:34" x14ac:dyDescent="0.25">
      <c r="A748" s="1">
        <v>44599</v>
      </c>
      <c r="B748">
        <v>635</v>
      </c>
      <c r="C748">
        <v>-1.5723270000000001E-3</v>
      </c>
      <c r="D748">
        <v>1100</v>
      </c>
      <c r="E748">
        <v>2.3255814E-2</v>
      </c>
      <c r="F748">
        <v>-2.4828141000000001E-2</v>
      </c>
      <c r="G748">
        <v>2.4828141000000001E-2</v>
      </c>
      <c r="H748">
        <v>1.4734964999999999E-2</v>
      </c>
      <c r="I748">
        <v>1.8122356999999999E-2</v>
      </c>
      <c r="J748">
        <v>0</v>
      </c>
      <c r="K748">
        <v>1</v>
      </c>
      <c r="L748">
        <v>1</v>
      </c>
      <c r="M748">
        <v>5</v>
      </c>
      <c r="N748">
        <v>25.62168101</v>
      </c>
      <c r="O748">
        <v>129</v>
      </c>
      <c r="P748">
        <v>-5</v>
      </c>
      <c r="Q748">
        <v>134</v>
      </c>
      <c r="R748">
        <v>-81915</v>
      </c>
      <c r="S748">
        <v>5500</v>
      </c>
      <c r="T748">
        <v>0</v>
      </c>
      <c r="U748">
        <v>0</v>
      </c>
      <c r="V748" t="s">
        <v>34</v>
      </c>
      <c r="W748">
        <v>-81915</v>
      </c>
      <c r="X748">
        <v>5500</v>
      </c>
      <c r="Y748">
        <v>0</v>
      </c>
      <c r="Z748">
        <v>1.8122356999999999E-2</v>
      </c>
      <c r="AA748">
        <v>87415</v>
      </c>
      <c r="AB748">
        <v>0.02</v>
      </c>
      <c r="AC748">
        <v>0</v>
      </c>
      <c r="AD748">
        <v>0</v>
      </c>
      <c r="AE748">
        <v>0</v>
      </c>
      <c r="AF748">
        <v>0</v>
      </c>
      <c r="AG748">
        <v>87415</v>
      </c>
      <c r="AH748">
        <f t="shared" si="11"/>
        <v>0</v>
      </c>
    </row>
    <row r="749" spans="1:34" x14ac:dyDescent="0.25">
      <c r="A749" s="1">
        <v>44600</v>
      </c>
      <c r="B749">
        <v>628</v>
      </c>
      <c r="C749">
        <v>-1.1023622E-2</v>
      </c>
      <c r="D749">
        <v>1095</v>
      </c>
      <c r="E749">
        <v>-4.5454550000000003E-3</v>
      </c>
      <c r="F749">
        <v>-6.4781680000000003E-3</v>
      </c>
      <c r="G749">
        <v>6.4781680000000003E-3</v>
      </c>
      <c r="H749">
        <v>1.4076481E-2</v>
      </c>
      <c r="I749">
        <v>1.5045614000000001E-2</v>
      </c>
      <c r="J749">
        <v>0</v>
      </c>
      <c r="K749">
        <v>1</v>
      </c>
      <c r="L749">
        <v>0</v>
      </c>
      <c r="M749">
        <v>5</v>
      </c>
      <c r="N749">
        <v>0.71896455500000001</v>
      </c>
      <c r="O749">
        <v>-129</v>
      </c>
      <c r="P749">
        <v>5</v>
      </c>
      <c r="Q749">
        <v>134</v>
      </c>
      <c r="R749">
        <v>81012</v>
      </c>
      <c r="S749">
        <v>-5475</v>
      </c>
      <c r="T749">
        <v>-903</v>
      </c>
      <c r="U749">
        <v>25</v>
      </c>
      <c r="V749" t="s">
        <v>37</v>
      </c>
      <c r="W749">
        <v>0</v>
      </c>
      <c r="X749">
        <v>0</v>
      </c>
      <c r="Y749">
        <v>0</v>
      </c>
      <c r="Z749">
        <v>1.5045614000000001E-2</v>
      </c>
      <c r="AA749">
        <v>86487</v>
      </c>
      <c r="AB749">
        <v>0.02</v>
      </c>
      <c r="AC749">
        <v>-878</v>
      </c>
      <c r="AD749">
        <v>-1.0151815E-2</v>
      </c>
      <c r="AE749">
        <v>0</v>
      </c>
      <c r="AF749">
        <v>0</v>
      </c>
      <c r="AG749">
        <v>0</v>
      </c>
      <c r="AH749">
        <f t="shared" si="11"/>
        <v>0</v>
      </c>
    </row>
    <row r="750" spans="1:34" x14ac:dyDescent="0.25">
      <c r="A750" s="1">
        <v>44601</v>
      </c>
      <c r="B750">
        <v>633</v>
      </c>
      <c r="C750">
        <v>7.9617830000000001E-3</v>
      </c>
      <c r="D750">
        <v>1130</v>
      </c>
      <c r="E750">
        <v>3.1963470000000001E-2</v>
      </c>
      <c r="F750">
        <v>-2.4001687000000001E-2</v>
      </c>
      <c r="G750">
        <v>2.4001687000000001E-2</v>
      </c>
      <c r="H750">
        <v>9.9506939999999995E-3</v>
      </c>
      <c r="I750">
        <v>1.8823286000000002E-2</v>
      </c>
      <c r="J750">
        <v>0</v>
      </c>
      <c r="K750">
        <v>1</v>
      </c>
      <c r="L750">
        <v>0</v>
      </c>
      <c r="M750">
        <v>5</v>
      </c>
      <c r="N750">
        <v>7.1666847010000003</v>
      </c>
      <c r="O750">
        <v>-129</v>
      </c>
      <c r="P750">
        <v>5</v>
      </c>
      <c r="Q750">
        <v>134</v>
      </c>
      <c r="R750">
        <v>81657</v>
      </c>
      <c r="S750">
        <v>-5650</v>
      </c>
      <c r="T750">
        <v>-258</v>
      </c>
      <c r="U750">
        <v>-150</v>
      </c>
      <c r="V750" t="s">
        <v>37</v>
      </c>
      <c r="W750">
        <v>0</v>
      </c>
      <c r="X750">
        <v>0</v>
      </c>
      <c r="Y750">
        <v>0</v>
      </c>
      <c r="Z750">
        <v>1.8823286000000002E-2</v>
      </c>
      <c r="AA750">
        <v>87307</v>
      </c>
      <c r="AB750">
        <v>0.02</v>
      </c>
      <c r="AC750">
        <v>-408</v>
      </c>
      <c r="AD750">
        <v>-4.673165E-3</v>
      </c>
      <c r="AE750">
        <v>0</v>
      </c>
      <c r="AF750">
        <v>0</v>
      </c>
      <c r="AG750">
        <v>0</v>
      </c>
      <c r="AH750">
        <f t="shared" si="11"/>
        <v>0</v>
      </c>
    </row>
    <row r="751" spans="1:34" x14ac:dyDescent="0.25">
      <c r="A751" s="1">
        <v>44602</v>
      </c>
      <c r="B751">
        <v>649</v>
      </c>
      <c r="C751">
        <v>2.5276461E-2</v>
      </c>
      <c r="D751">
        <v>1160</v>
      </c>
      <c r="E751">
        <v>2.6548672999999998E-2</v>
      </c>
      <c r="F751">
        <v>-1.2722110000000001E-3</v>
      </c>
      <c r="G751">
        <v>1.2722110000000001E-3</v>
      </c>
      <c r="H751">
        <v>1.4612867E-2</v>
      </c>
      <c r="I751">
        <v>1.9026128E-2</v>
      </c>
      <c r="J751">
        <v>0</v>
      </c>
      <c r="K751">
        <v>1</v>
      </c>
      <c r="L751">
        <v>0</v>
      </c>
      <c r="M751">
        <v>5</v>
      </c>
      <c r="N751">
        <v>1.8773265880000001</v>
      </c>
      <c r="O751">
        <v>-129</v>
      </c>
      <c r="P751">
        <v>5</v>
      </c>
      <c r="Q751">
        <v>134</v>
      </c>
      <c r="R751">
        <v>83721</v>
      </c>
      <c r="S751">
        <v>-5800</v>
      </c>
      <c r="T751">
        <v>1806</v>
      </c>
      <c r="U751">
        <v>-300</v>
      </c>
      <c r="V751" t="s">
        <v>37</v>
      </c>
      <c r="W751">
        <v>0</v>
      </c>
      <c r="X751">
        <v>0</v>
      </c>
      <c r="Y751">
        <v>0</v>
      </c>
      <c r="Z751">
        <v>1.9026128E-2</v>
      </c>
      <c r="AA751">
        <v>89521</v>
      </c>
      <c r="AB751">
        <v>0.02</v>
      </c>
      <c r="AC751">
        <v>1506</v>
      </c>
      <c r="AD751">
        <v>1.6822868000000001E-2</v>
      </c>
      <c r="AE751">
        <v>0</v>
      </c>
      <c r="AF751">
        <v>0</v>
      </c>
      <c r="AG751">
        <v>0</v>
      </c>
      <c r="AH751">
        <f t="shared" si="11"/>
        <v>0</v>
      </c>
    </row>
    <row r="752" spans="1:34" x14ac:dyDescent="0.25">
      <c r="A752" s="1">
        <v>44603</v>
      </c>
      <c r="B752">
        <v>650</v>
      </c>
      <c r="C752">
        <v>1.540832E-3</v>
      </c>
      <c r="D752">
        <v>1150</v>
      </c>
      <c r="E752">
        <v>-8.6206900000000003E-3</v>
      </c>
      <c r="F752">
        <v>1.0161521999999999E-2</v>
      </c>
      <c r="G752">
        <v>1.0161521999999999E-2</v>
      </c>
      <c r="H752">
        <v>1.3511456999999999E-2</v>
      </c>
      <c r="I752">
        <v>1.8848502E-2</v>
      </c>
      <c r="J752">
        <v>1</v>
      </c>
      <c r="K752">
        <v>0</v>
      </c>
      <c r="L752">
        <v>-1</v>
      </c>
      <c r="M752">
        <v>5</v>
      </c>
      <c r="N752">
        <v>9.8985411140000004</v>
      </c>
      <c r="O752">
        <v>-129</v>
      </c>
      <c r="P752">
        <v>5</v>
      </c>
      <c r="Q752">
        <v>134</v>
      </c>
      <c r="R752">
        <v>83850</v>
      </c>
      <c r="S752">
        <v>-5750</v>
      </c>
      <c r="T752">
        <v>1935</v>
      </c>
      <c r="U752">
        <v>-250</v>
      </c>
      <c r="V752" t="s">
        <v>35</v>
      </c>
      <c r="W752">
        <v>83850</v>
      </c>
      <c r="X752">
        <v>-5750</v>
      </c>
      <c r="Y752">
        <v>1685</v>
      </c>
      <c r="Z752">
        <v>1.8848502E-2</v>
      </c>
      <c r="AA752">
        <v>89600</v>
      </c>
      <c r="AB752">
        <v>0.02</v>
      </c>
      <c r="AC752">
        <v>1685</v>
      </c>
      <c r="AD752">
        <v>1.8805803999999999E-2</v>
      </c>
      <c r="AE752">
        <v>0</v>
      </c>
      <c r="AF752">
        <v>1685</v>
      </c>
      <c r="AG752">
        <v>0</v>
      </c>
      <c r="AH752">
        <f t="shared" si="11"/>
        <v>1.8805803571428571E-2</v>
      </c>
    </row>
    <row r="753" spans="1:34" x14ac:dyDescent="0.25">
      <c r="A753" s="1">
        <v>44606</v>
      </c>
      <c r="B753">
        <v>637</v>
      </c>
      <c r="C753">
        <v>-0.02</v>
      </c>
      <c r="D753">
        <v>1105</v>
      </c>
      <c r="E753">
        <v>-3.9130434999999998E-2</v>
      </c>
      <c r="F753">
        <v>1.9130435000000001E-2</v>
      </c>
      <c r="G753">
        <v>1.9130435000000001E-2</v>
      </c>
      <c r="H753">
        <v>1.7488304999999999E-2</v>
      </c>
      <c r="I753">
        <v>2.8917716E-2</v>
      </c>
      <c r="J753">
        <v>1</v>
      </c>
      <c r="K753">
        <v>0</v>
      </c>
      <c r="L753">
        <v>0</v>
      </c>
      <c r="M753">
        <v>5</v>
      </c>
      <c r="N753">
        <v>3.3939662820000001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W753">
        <v>0</v>
      </c>
      <c r="X753">
        <v>0</v>
      </c>
      <c r="Y753">
        <v>0</v>
      </c>
      <c r="Z753">
        <v>2.8917716E-2</v>
      </c>
      <c r="AA753">
        <v>0</v>
      </c>
      <c r="AB753" t="s">
        <v>33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f t="shared" si="11"/>
        <v>0</v>
      </c>
    </row>
    <row r="754" spans="1:34" x14ac:dyDescent="0.25">
      <c r="A754" s="1">
        <v>44607</v>
      </c>
      <c r="B754">
        <v>633</v>
      </c>
      <c r="C754">
        <v>-6.2794349999999999E-3</v>
      </c>
      <c r="D754">
        <v>1100</v>
      </c>
      <c r="E754">
        <v>-4.524887E-3</v>
      </c>
      <c r="F754">
        <v>-1.7545480000000001E-3</v>
      </c>
      <c r="G754">
        <v>1.7545480000000001E-3</v>
      </c>
      <c r="H754">
        <v>1.6805105000000001E-2</v>
      </c>
      <c r="I754">
        <v>2.8916687999999999E-2</v>
      </c>
      <c r="J754">
        <v>0</v>
      </c>
      <c r="K754">
        <v>0</v>
      </c>
      <c r="L754">
        <v>0</v>
      </c>
      <c r="M754">
        <v>5</v>
      </c>
      <c r="N754">
        <v>1.2522070439999999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W754">
        <v>0</v>
      </c>
      <c r="X754">
        <v>0</v>
      </c>
      <c r="Y754">
        <v>0</v>
      </c>
      <c r="Z754">
        <v>2.8916687999999999E-2</v>
      </c>
      <c r="AA754">
        <v>0</v>
      </c>
      <c r="AB754" t="s">
        <v>33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f t="shared" si="11"/>
        <v>0</v>
      </c>
    </row>
    <row r="755" spans="1:34" x14ac:dyDescent="0.25">
      <c r="A755" s="1">
        <v>44608</v>
      </c>
      <c r="B755">
        <v>646</v>
      </c>
      <c r="C755">
        <v>2.0537125E-2</v>
      </c>
      <c r="D755">
        <v>1130</v>
      </c>
      <c r="E755">
        <v>2.7272727E-2</v>
      </c>
      <c r="F755">
        <v>-6.7356020000000003E-3</v>
      </c>
      <c r="G755">
        <v>6.7356020000000003E-3</v>
      </c>
      <c r="H755">
        <v>1.8799251999999999E-2</v>
      </c>
      <c r="I755">
        <v>2.7722454000000001E-2</v>
      </c>
      <c r="J755">
        <v>0</v>
      </c>
      <c r="K755">
        <v>0</v>
      </c>
      <c r="L755">
        <v>0</v>
      </c>
      <c r="M755">
        <v>5</v>
      </c>
      <c r="N755">
        <v>2.3229232070000001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W755">
        <v>0</v>
      </c>
      <c r="X755">
        <v>0</v>
      </c>
      <c r="Y755">
        <v>0</v>
      </c>
      <c r="Z755">
        <v>2.7722454000000001E-2</v>
      </c>
      <c r="AA755">
        <v>0</v>
      </c>
      <c r="AB755" t="s">
        <v>33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f t="shared" si="11"/>
        <v>0</v>
      </c>
    </row>
    <row r="756" spans="1:34" x14ac:dyDescent="0.25">
      <c r="A756" s="1">
        <v>44609</v>
      </c>
      <c r="B756">
        <v>645</v>
      </c>
      <c r="C756">
        <v>-1.5479879999999999E-3</v>
      </c>
      <c r="D756">
        <v>1130</v>
      </c>
      <c r="E756">
        <v>0</v>
      </c>
      <c r="F756">
        <v>-1.5479879999999999E-3</v>
      </c>
      <c r="G756">
        <v>1.5479879999999999E-3</v>
      </c>
      <c r="H756">
        <v>1.4657455E-2</v>
      </c>
      <c r="I756">
        <v>2.3689399999999999E-2</v>
      </c>
      <c r="J756">
        <v>0</v>
      </c>
      <c r="K756">
        <v>0</v>
      </c>
      <c r="L756">
        <v>0</v>
      </c>
      <c r="M756">
        <v>5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W756">
        <v>0</v>
      </c>
      <c r="X756">
        <v>0</v>
      </c>
      <c r="Y756">
        <v>0</v>
      </c>
      <c r="Z756">
        <v>2.3689399999999999E-2</v>
      </c>
      <c r="AA756">
        <v>0</v>
      </c>
      <c r="AB756" t="s">
        <v>33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f t="shared" si="11"/>
        <v>0</v>
      </c>
    </row>
    <row r="757" spans="1:34" x14ac:dyDescent="0.25">
      <c r="A757" s="1">
        <v>44610</v>
      </c>
      <c r="B757">
        <v>637</v>
      </c>
      <c r="C757">
        <v>-1.2403101E-2</v>
      </c>
      <c r="D757">
        <v>1120</v>
      </c>
      <c r="E757">
        <v>-8.8495580000000004E-3</v>
      </c>
      <c r="F757">
        <v>-3.5535430000000002E-3</v>
      </c>
      <c r="G757">
        <v>3.5535430000000002E-3</v>
      </c>
      <c r="H757">
        <v>1.5328665999999999E-2</v>
      </c>
      <c r="I757">
        <v>2.3698363E-2</v>
      </c>
      <c r="J757">
        <v>0</v>
      </c>
      <c r="K757">
        <v>0</v>
      </c>
      <c r="L757">
        <v>0</v>
      </c>
      <c r="M757">
        <v>5</v>
      </c>
      <c r="N757">
        <v>1.2544977150000001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W757">
        <v>0</v>
      </c>
      <c r="X757">
        <v>0</v>
      </c>
      <c r="Y757">
        <v>0</v>
      </c>
      <c r="Z757">
        <v>2.3698363E-2</v>
      </c>
      <c r="AA757">
        <v>0</v>
      </c>
      <c r="AB757" t="s">
        <v>33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f t="shared" si="11"/>
        <v>0</v>
      </c>
    </row>
    <row r="758" spans="1:34" x14ac:dyDescent="0.25">
      <c r="A758" s="1">
        <v>44613</v>
      </c>
      <c r="B758">
        <v>632</v>
      </c>
      <c r="C758">
        <v>-7.8492939999999997E-3</v>
      </c>
      <c r="D758">
        <v>1130</v>
      </c>
      <c r="E758">
        <v>8.9285709999999997E-3</v>
      </c>
      <c r="F758">
        <v>-1.6777864999999999E-2</v>
      </c>
      <c r="G758">
        <v>1.6777864999999999E-2</v>
      </c>
      <c r="H758">
        <v>1.2919665E-2</v>
      </c>
      <c r="I758">
        <v>1.43012E-2</v>
      </c>
      <c r="J758">
        <v>0</v>
      </c>
      <c r="K758">
        <v>1</v>
      </c>
      <c r="L758">
        <v>1</v>
      </c>
      <c r="M758">
        <v>5</v>
      </c>
      <c r="N758">
        <v>2.033821203</v>
      </c>
      <c r="O758">
        <v>11</v>
      </c>
      <c r="P758">
        <v>-5</v>
      </c>
      <c r="Q758">
        <v>16</v>
      </c>
      <c r="R758">
        <v>-6952</v>
      </c>
      <c r="S758">
        <v>5650</v>
      </c>
      <c r="T758">
        <v>0</v>
      </c>
      <c r="U758">
        <v>0</v>
      </c>
      <c r="V758" t="s">
        <v>34</v>
      </c>
      <c r="W758">
        <v>-6952</v>
      </c>
      <c r="X758">
        <v>5650</v>
      </c>
      <c r="Y758">
        <v>0</v>
      </c>
      <c r="Z758">
        <v>1.43012E-2</v>
      </c>
      <c r="AA758">
        <v>12602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12602</v>
      </c>
      <c r="AH758">
        <f t="shared" si="11"/>
        <v>0</v>
      </c>
    </row>
    <row r="759" spans="1:34" x14ac:dyDescent="0.25">
      <c r="A759" s="1">
        <v>44614</v>
      </c>
      <c r="B759">
        <v>627</v>
      </c>
      <c r="C759">
        <v>-7.9113919999999997E-3</v>
      </c>
      <c r="D759">
        <v>1110</v>
      </c>
      <c r="E759">
        <v>-1.7699115000000001E-2</v>
      </c>
      <c r="F759">
        <v>9.7877229999999999E-3</v>
      </c>
      <c r="G759">
        <v>9.7877229999999999E-3</v>
      </c>
      <c r="H759">
        <v>1.3089818E-2</v>
      </c>
      <c r="I759">
        <v>1.7294940000000002E-2</v>
      </c>
      <c r="J759">
        <v>1</v>
      </c>
      <c r="K759">
        <v>0</v>
      </c>
      <c r="L759">
        <v>-1</v>
      </c>
      <c r="M759">
        <v>5</v>
      </c>
      <c r="N759">
        <v>3.9605369010000002</v>
      </c>
      <c r="O759">
        <v>-11</v>
      </c>
      <c r="P759">
        <v>5</v>
      </c>
      <c r="Q759">
        <v>16</v>
      </c>
      <c r="R759">
        <v>6897</v>
      </c>
      <c r="S759">
        <v>-5550</v>
      </c>
      <c r="T759">
        <v>-55</v>
      </c>
      <c r="U759">
        <v>100</v>
      </c>
      <c r="V759" t="s">
        <v>35</v>
      </c>
      <c r="W759">
        <v>6897</v>
      </c>
      <c r="X759">
        <v>-5550</v>
      </c>
      <c r="Y759">
        <v>45</v>
      </c>
      <c r="Z759">
        <v>1.7294940000000002E-2</v>
      </c>
      <c r="AA759">
        <v>12447</v>
      </c>
      <c r="AB759">
        <v>0</v>
      </c>
      <c r="AC759">
        <v>45</v>
      </c>
      <c r="AD759">
        <v>3.615329E-3</v>
      </c>
      <c r="AE759">
        <v>0</v>
      </c>
      <c r="AF759">
        <v>45</v>
      </c>
      <c r="AG759">
        <v>0</v>
      </c>
      <c r="AH759">
        <f t="shared" si="11"/>
        <v>3.6153289949385392E-3</v>
      </c>
    </row>
    <row r="760" spans="1:34" x14ac:dyDescent="0.25">
      <c r="A760" s="1">
        <v>44615</v>
      </c>
      <c r="B760">
        <v>625</v>
      </c>
      <c r="C760">
        <v>-3.1897929999999998E-3</v>
      </c>
      <c r="D760">
        <v>1120</v>
      </c>
      <c r="E760">
        <v>9.0090090000000001E-3</v>
      </c>
      <c r="F760">
        <v>-1.2198802E-2</v>
      </c>
      <c r="G760">
        <v>1.2198802E-2</v>
      </c>
      <c r="H760">
        <v>4.3042669999999996E-3</v>
      </c>
      <c r="I760">
        <v>1.1593368999999999E-2</v>
      </c>
      <c r="J760">
        <v>0</v>
      </c>
      <c r="K760">
        <v>1</v>
      </c>
      <c r="L760">
        <v>1</v>
      </c>
      <c r="M760">
        <v>5</v>
      </c>
      <c r="N760">
        <v>5.0611891890000003</v>
      </c>
      <c r="O760">
        <v>26</v>
      </c>
      <c r="P760">
        <v>-5</v>
      </c>
      <c r="Q760">
        <v>31</v>
      </c>
      <c r="R760">
        <v>-16250</v>
      </c>
      <c r="S760">
        <v>5600</v>
      </c>
      <c r="T760">
        <v>0</v>
      </c>
      <c r="U760">
        <v>0</v>
      </c>
      <c r="V760" t="s">
        <v>34</v>
      </c>
      <c r="W760">
        <v>-16250</v>
      </c>
      <c r="X760">
        <v>5600</v>
      </c>
      <c r="Y760">
        <v>0</v>
      </c>
      <c r="Z760">
        <v>1.1593368999999999E-2</v>
      </c>
      <c r="AA760">
        <v>21850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21850</v>
      </c>
      <c r="AH760">
        <f t="shared" si="11"/>
        <v>0</v>
      </c>
    </row>
    <row r="761" spans="1:34" x14ac:dyDescent="0.25">
      <c r="A761" s="1">
        <v>44616</v>
      </c>
      <c r="B761">
        <v>604</v>
      </c>
      <c r="C761">
        <v>-3.3599999999999998E-2</v>
      </c>
      <c r="D761">
        <v>1060</v>
      </c>
      <c r="E761">
        <v>-5.3571428999999997E-2</v>
      </c>
      <c r="F761">
        <v>1.9971428999999999E-2</v>
      </c>
      <c r="G761">
        <v>1.9971428999999999E-2</v>
      </c>
      <c r="H761">
        <v>1.1972674000000001E-2</v>
      </c>
      <c r="I761">
        <v>2.5734314000000001E-2</v>
      </c>
      <c r="J761">
        <v>1</v>
      </c>
      <c r="K761">
        <v>0</v>
      </c>
      <c r="L761">
        <v>-1</v>
      </c>
      <c r="M761">
        <v>5</v>
      </c>
      <c r="N761">
        <v>2.798097716</v>
      </c>
      <c r="O761">
        <v>-26</v>
      </c>
      <c r="P761">
        <v>5</v>
      </c>
      <c r="Q761">
        <v>31</v>
      </c>
      <c r="R761">
        <v>15704</v>
      </c>
      <c r="S761">
        <v>-5300</v>
      </c>
      <c r="T761">
        <v>-546</v>
      </c>
      <c r="U761">
        <v>300</v>
      </c>
      <c r="V761" t="s">
        <v>35</v>
      </c>
      <c r="W761">
        <v>15704</v>
      </c>
      <c r="X761">
        <v>-5300</v>
      </c>
      <c r="Y761">
        <v>-246</v>
      </c>
      <c r="Z761">
        <v>2.5734314000000001E-2</v>
      </c>
      <c r="AA761">
        <v>21004</v>
      </c>
      <c r="AB761">
        <v>0</v>
      </c>
      <c r="AC761">
        <v>-246</v>
      </c>
      <c r="AD761">
        <v>-1.1712055000000001E-2</v>
      </c>
      <c r="AE761">
        <v>0</v>
      </c>
      <c r="AF761">
        <v>-246</v>
      </c>
      <c r="AG761">
        <v>0</v>
      </c>
      <c r="AH761">
        <f t="shared" si="11"/>
        <v>-1.1712054846695867E-2</v>
      </c>
    </row>
    <row r="762" spans="1:34" x14ac:dyDescent="0.25">
      <c r="A762" s="1">
        <v>44617</v>
      </c>
      <c r="B762">
        <v>604</v>
      </c>
      <c r="C762">
        <v>0</v>
      </c>
      <c r="D762">
        <v>1085</v>
      </c>
      <c r="E762">
        <v>2.3584905999999999E-2</v>
      </c>
      <c r="F762">
        <v>-2.3584905999999999E-2</v>
      </c>
      <c r="G762">
        <v>2.3584905999999999E-2</v>
      </c>
      <c r="H762">
        <v>1.3332533000000001E-2</v>
      </c>
      <c r="I762">
        <v>3.0509411E-2</v>
      </c>
      <c r="J762">
        <v>0</v>
      </c>
      <c r="K762">
        <v>0</v>
      </c>
      <c r="L762">
        <v>0</v>
      </c>
      <c r="M762">
        <v>5</v>
      </c>
      <c r="N762" t="s">
        <v>36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W762">
        <v>0</v>
      </c>
      <c r="X762">
        <v>0</v>
      </c>
      <c r="Y762">
        <v>0</v>
      </c>
      <c r="Z762">
        <v>3.0509411E-2</v>
      </c>
      <c r="AA762">
        <v>0</v>
      </c>
      <c r="AB762" t="s">
        <v>33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f t="shared" si="11"/>
        <v>0</v>
      </c>
    </row>
    <row r="763" spans="1:34" x14ac:dyDescent="0.25">
      <c r="A763" s="1">
        <v>44621</v>
      </c>
      <c r="B763">
        <v>604</v>
      </c>
      <c r="C763">
        <v>0</v>
      </c>
      <c r="D763">
        <v>1100</v>
      </c>
      <c r="E763">
        <v>1.3824885E-2</v>
      </c>
      <c r="F763">
        <v>-1.3824885E-2</v>
      </c>
      <c r="G763">
        <v>1.3824885E-2</v>
      </c>
      <c r="H763">
        <v>1.4160559E-2</v>
      </c>
      <c r="I763">
        <v>3.1177605000000001E-2</v>
      </c>
      <c r="J763">
        <v>0</v>
      </c>
      <c r="K763">
        <v>0</v>
      </c>
      <c r="L763">
        <v>0</v>
      </c>
      <c r="M763">
        <v>5</v>
      </c>
      <c r="N763" t="s">
        <v>36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W763">
        <v>0</v>
      </c>
      <c r="X763">
        <v>0</v>
      </c>
      <c r="Y763">
        <v>0</v>
      </c>
      <c r="Z763">
        <v>3.1177605000000001E-2</v>
      </c>
      <c r="AA763">
        <v>0</v>
      </c>
      <c r="AB763" t="s">
        <v>33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f t="shared" si="11"/>
        <v>0</v>
      </c>
    </row>
    <row r="764" spans="1:34" x14ac:dyDescent="0.25">
      <c r="A764" s="1">
        <v>44622</v>
      </c>
      <c r="B764">
        <v>601</v>
      </c>
      <c r="C764">
        <v>-4.9668869999999997E-3</v>
      </c>
      <c r="D764">
        <v>1080</v>
      </c>
      <c r="E764">
        <v>-1.8181817999999999E-2</v>
      </c>
      <c r="F764">
        <v>1.3214930999999999E-2</v>
      </c>
      <c r="G764">
        <v>1.3214930999999999E-2</v>
      </c>
      <c r="H764">
        <v>1.4274808999999999E-2</v>
      </c>
      <c r="I764">
        <v>3.1227580000000001E-2</v>
      </c>
      <c r="J764">
        <v>1</v>
      </c>
      <c r="K764">
        <v>0</v>
      </c>
      <c r="L764">
        <v>0</v>
      </c>
      <c r="M764">
        <v>5</v>
      </c>
      <c r="N764">
        <v>6.5781273630000001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W764">
        <v>0</v>
      </c>
      <c r="X764">
        <v>0</v>
      </c>
      <c r="Y764">
        <v>0</v>
      </c>
      <c r="Z764">
        <v>3.1227580000000001E-2</v>
      </c>
      <c r="AA764">
        <v>0</v>
      </c>
      <c r="AB764" t="s">
        <v>33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f t="shared" si="11"/>
        <v>0</v>
      </c>
    </row>
    <row r="765" spans="1:34" x14ac:dyDescent="0.25">
      <c r="A765" s="1">
        <v>44623</v>
      </c>
      <c r="B765">
        <v>602</v>
      </c>
      <c r="C765">
        <v>1.663894E-3</v>
      </c>
      <c r="D765">
        <v>1080</v>
      </c>
      <c r="E765">
        <v>0</v>
      </c>
      <c r="F765">
        <v>1.663894E-3</v>
      </c>
      <c r="G765">
        <v>1.663894E-3</v>
      </c>
      <c r="H765">
        <v>1.4866341E-2</v>
      </c>
      <c r="I765">
        <v>3.0462916E-2</v>
      </c>
      <c r="J765">
        <v>1</v>
      </c>
      <c r="K765">
        <v>0</v>
      </c>
      <c r="L765">
        <v>0</v>
      </c>
      <c r="M765">
        <v>5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W765">
        <v>0</v>
      </c>
      <c r="X765">
        <v>0</v>
      </c>
      <c r="Y765">
        <v>0</v>
      </c>
      <c r="Z765">
        <v>3.0462916E-2</v>
      </c>
      <c r="AA765">
        <v>0</v>
      </c>
      <c r="AB765" t="s">
        <v>33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f t="shared" si="11"/>
        <v>0</v>
      </c>
    </row>
    <row r="766" spans="1:34" x14ac:dyDescent="0.25">
      <c r="A766" s="1">
        <v>44624</v>
      </c>
      <c r="B766">
        <v>595</v>
      </c>
      <c r="C766">
        <v>-1.1627907E-2</v>
      </c>
      <c r="D766">
        <v>1025</v>
      </c>
      <c r="E766">
        <v>-5.0925926000000003E-2</v>
      </c>
      <c r="F766">
        <v>3.9298018999999997E-2</v>
      </c>
      <c r="G766">
        <v>3.9298018999999997E-2</v>
      </c>
      <c r="H766">
        <v>5.4327799999999999E-3</v>
      </c>
      <c r="I766">
        <v>2.9455268999999999E-2</v>
      </c>
      <c r="J766">
        <v>1</v>
      </c>
      <c r="K766">
        <v>1</v>
      </c>
      <c r="L766">
        <v>1</v>
      </c>
      <c r="M766">
        <v>5</v>
      </c>
      <c r="N766">
        <v>7.544740118</v>
      </c>
      <c r="O766">
        <v>-38</v>
      </c>
      <c r="P766">
        <v>5</v>
      </c>
      <c r="Q766">
        <v>43</v>
      </c>
      <c r="R766">
        <v>22610</v>
      </c>
      <c r="S766">
        <v>-5125</v>
      </c>
      <c r="T766">
        <v>0</v>
      </c>
      <c r="U766">
        <v>0</v>
      </c>
      <c r="V766" t="s">
        <v>34</v>
      </c>
      <c r="W766">
        <v>22610</v>
      </c>
      <c r="X766">
        <v>-5125</v>
      </c>
      <c r="Y766">
        <v>0</v>
      </c>
      <c r="Z766">
        <v>2.9455268999999999E-2</v>
      </c>
      <c r="AA766">
        <v>27735</v>
      </c>
      <c r="AB766">
        <v>0.01</v>
      </c>
      <c r="AC766">
        <v>0</v>
      </c>
      <c r="AD766">
        <v>0</v>
      </c>
      <c r="AE766">
        <v>0</v>
      </c>
      <c r="AF766">
        <v>0</v>
      </c>
      <c r="AG766">
        <v>27735</v>
      </c>
      <c r="AH766">
        <f t="shared" si="11"/>
        <v>0</v>
      </c>
    </row>
    <row r="767" spans="1:34" x14ac:dyDescent="0.25">
      <c r="A767" s="1">
        <v>44627</v>
      </c>
      <c r="B767">
        <v>576</v>
      </c>
      <c r="C767">
        <v>-3.1932772999999998E-2</v>
      </c>
      <c r="D767">
        <v>972</v>
      </c>
      <c r="E767">
        <v>-5.1707317000000003E-2</v>
      </c>
      <c r="F767">
        <v>1.9774544000000002E-2</v>
      </c>
      <c r="G767">
        <v>1.9774544000000002E-2</v>
      </c>
      <c r="H767">
        <v>1.3630003E-2</v>
      </c>
      <c r="I767">
        <v>2.957796E-2</v>
      </c>
      <c r="J767">
        <v>1</v>
      </c>
      <c r="K767">
        <v>1</v>
      </c>
      <c r="L767">
        <v>0</v>
      </c>
      <c r="M767">
        <v>5</v>
      </c>
      <c r="N767">
        <v>2.732493582</v>
      </c>
      <c r="O767">
        <v>38</v>
      </c>
      <c r="P767">
        <v>-5</v>
      </c>
      <c r="Q767">
        <v>43</v>
      </c>
      <c r="R767">
        <v>-21888</v>
      </c>
      <c r="S767">
        <v>4860</v>
      </c>
      <c r="T767">
        <v>722</v>
      </c>
      <c r="U767">
        <v>-265</v>
      </c>
      <c r="V767" t="s">
        <v>37</v>
      </c>
      <c r="W767">
        <v>0</v>
      </c>
      <c r="X767">
        <v>0</v>
      </c>
      <c r="Y767">
        <v>0</v>
      </c>
      <c r="Z767">
        <v>2.957796E-2</v>
      </c>
      <c r="AA767">
        <v>26748</v>
      </c>
      <c r="AB767">
        <v>0.01</v>
      </c>
      <c r="AC767">
        <v>457</v>
      </c>
      <c r="AD767">
        <v>1.7085389999999999E-2</v>
      </c>
      <c r="AE767">
        <v>0</v>
      </c>
      <c r="AF767">
        <v>0</v>
      </c>
      <c r="AG767">
        <v>0</v>
      </c>
      <c r="AH767">
        <f t="shared" si="11"/>
        <v>0</v>
      </c>
    </row>
    <row r="768" spans="1:34" x14ac:dyDescent="0.25">
      <c r="A768" s="1">
        <v>44628</v>
      </c>
      <c r="B768">
        <v>563</v>
      </c>
      <c r="C768">
        <v>-2.2569444000000001E-2</v>
      </c>
      <c r="D768">
        <v>963</v>
      </c>
      <c r="E768">
        <v>-9.2592590000000006E-3</v>
      </c>
      <c r="F768">
        <v>-1.3310185E-2</v>
      </c>
      <c r="G768">
        <v>1.3310185E-2</v>
      </c>
      <c r="H768">
        <v>1.3486447E-2</v>
      </c>
      <c r="I768">
        <v>2.3976776000000002E-2</v>
      </c>
      <c r="J768">
        <v>0</v>
      </c>
      <c r="K768">
        <v>0</v>
      </c>
      <c r="L768">
        <v>-1</v>
      </c>
      <c r="M768">
        <v>5</v>
      </c>
      <c r="N768">
        <v>0.70173521000000005</v>
      </c>
      <c r="O768">
        <v>38</v>
      </c>
      <c r="P768">
        <v>-5</v>
      </c>
      <c r="Q768">
        <v>43</v>
      </c>
      <c r="R768">
        <v>-21394</v>
      </c>
      <c r="S768">
        <v>4815</v>
      </c>
      <c r="T768">
        <v>1216</v>
      </c>
      <c r="U768">
        <v>-310</v>
      </c>
      <c r="V768" t="s">
        <v>35</v>
      </c>
      <c r="W768">
        <v>-21394</v>
      </c>
      <c r="X768">
        <v>4815</v>
      </c>
      <c r="Y768">
        <v>906</v>
      </c>
      <c r="Z768">
        <v>2.3976776000000002E-2</v>
      </c>
      <c r="AA768">
        <v>26209</v>
      </c>
      <c r="AB768">
        <v>0.01</v>
      </c>
      <c r="AC768">
        <v>906</v>
      </c>
      <c r="AD768">
        <v>3.4568278000000001E-2</v>
      </c>
      <c r="AE768">
        <v>0</v>
      </c>
      <c r="AF768">
        <v>906</v>
      </c>
      <c r="AG768">
        <v>0</v>
      </c>
      <c r="AH768">
        <f t="shared" si="11"/>
        <v>3.4568278072417871E-2</v>
      </c>
    </row>
    <row r="769" spans="1:34" x14ac:dyDescent="0.25">
      <c r="A769" s="1">
        <v>44629</v>
      </c>
      <c r="B769">
        <v>568</v>
      </c>
      <c r="C769">
        <v>8.8809949999999992E-3</v>
      </c>
      <c r="D769">
        <v>966</v>
      </c>
      <c r="E769">
        <v>3.1152649999999999E-3</v>
      </c>
      <c r="F769">
        <v>5.7657300000000002E-3</v>
      </c>
      <c r="G769">
        <v>5.7657300000000002E-3</v>
      </c>
      <c r="H769">
        <v>1.6792758000000001E-2</v>
      </c>
      <c r="I769">
        <v>2.7368037000000001E-2</v>
      </c>
      <c r="J769">
        <v>1</v>
      </c>
      <c r="K769">
        <v>0</v>
      </c>
      <c r="L769">
        <v>0</v>
      </c>
      <c r="M769">
        <v>5</v>
      </c>
      <c r="N769">
        <v>0.59657101499999998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W769">
        <v>0</v>
      </c>
      <c r="X769">
        <v>0</v>
      </c>
      <c r="Y769">
        <v>0</v>
      </c>
      <c r="Z769">
        <v>2.7368037000000001E-2</v>
      </c>
      <c r="AA769">
        <v>0</v>
      </c>
      <c r="AB769" t="s">
        <v>33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f t="shared" si="11"/>
        <v>0</v>
      </c>
    </row>
    <row r="770" spans="1:34" x14ac:dyDescent="0.25">
      <c r="A770" s="1">
        <v>44630</v>
      </c>
      <c r="B770">
        <v>587</v>
      </c>
      <c r="C770">
        <v>3.3450703999999998E-2</v>
      </c>
      <c r="D770">
        <v>995</v>
      </c>
      <c r="E770">
        <v>3.0020703999999999E-2</v>
      </c>
      <c r="F770">
        <v>3.4299999999999999E-3</v>
      </c>
      <c r="G770">
        <v>3.4299999999999999E-3</v>
      </c>
      <c r="H770">
        <v>2.6214683999999999E-2</v>
      </c>
      <c r="I770">
        <v>3.5437479000000001E-2</v>
      </c>
      <c r="J770">
        <v>1</v>
      </c>
      <c r="K770">
        <v>0</v>
      </c>
      <c r="L770">
        <v>0</v>
      </c>
      <c r="M770">
        <v>5</v>
      </c>
      <c r="N770">
        <v>1.521249981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W770">
        <v>0</v>
      </c>
      <c r="X770">
        <v>0</v>
      </c>
      <c r="Y770">
        <v>0</v>
      </c>
      <c r="Z770">
        <v>3.5437479000000001E-2</v>
      </c>
      <c r="AA770">
        <v>0</v>
      </c>
      <c r="AB770" t="s">
        <v>33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f t="shared" si="11"/>
        <v>0</v>
      </c>
    </row>
    <row r="771" spans="1:34" x14ac:dyDescent="0.25">
      <c r="A771" s="1">
        <v>44631</v>
      </c>
      <c r="B771">
        <v>575</v>
      </c>
      <c r="C771">
        <v>-2.0442930000000002E-2</v>
      </c>
      <c r="D771">
        <v>963</v>
      </c>
      <c r="E771">
        <v>-3.2160804000000001E-2</v>
      </c>
      <c r="F771">
        <v>1.1717874E-2</v>
      </c>
      <c r="G771">
        <v>1.1717874E-2</v>
      </c>
      <c r="H771">
        <v>2.7074385999999999E-2</v>
      </c>
      <c r="I771">
        <v>3.1562840000000002E-2</v>
      </c>
      <c r="J771">
        <v>1</v>
      </c>
      <c r="K771">
        <v>0</v>
      </c>
      <c r="L771">
        <v>0</v>
      </c>
      <c r="M771">
        <v>5</v>
      </c>
      <c r="N771">
        <v>2.6347668780000002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W771">
        <v>0</v>
      </c>
      <c r="X771">
        <v>0</v>
      </c>
      <c r="Y771">
        <v>0</v>
      </c>
      <c r="Z771">
        <v>3.1562840000000002E-2</v>
      </c>
      <c r="AA771">
        <v>0</v>
      </c>
      <c r="AB771" t="s">
        <v>33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f t="shared" ref="AH771:AH834" si="12">IF(AF771&lt;&gt;0,AF771/AA771,0)</f>
        <v>0</v>
      </c>
    </row>
    <row r="772" spans="1:34" x14ac:dyDescent="0.25">
      <c r="A772" s="1">
        <v>44634</v>
      </c>
      <c r="B772">
        <v>572</v>
      </c>
      <c r="C772">
        <v>-5.217391E-3</v>
      </c>
      <c r="D772">
        <v>944</v>
      </c>
      <c r="E772">
        <v>-1.9730009999999999E-2</v>
      </c>
      <c r="F772">
        <v>1.4512618999999999E-2</v>
      </c>
      <c r="G772">
        <v>1.4512618999999999E-2</v>
      </c>
      <c r="H772">
        <v>2.3159116E-2</v>
      </c>
      <c r="I772">
        <v>2.378715E-2</v>
      </c>
      <c r="J772">
        <v>1</v>
      </c>
      <c r="K772">
        <v>0</v>
      </c>
      <c r="L772">
        <v>0</v>
      </c>
      <c r="M772">
        <v>5</v>
      </c>
      <c r="N772">
        <v>6.2409380170000004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W772">
        <v>0</v>
      </c>
      <c r="X772">
        <v>0</v>
      </c>
      <c r="Y772">
        <v>0</v>
      </c>
      <c r="Z772">
        <v>2.378715E-2</v>
      </c>
      <c r="AA772">
        <v>0</v>
      </c>
      <c r="AB772" t="s">
        <v>33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f t="shared" si="12"/>
        <v>0</v>
      </c>
    </row>
    <row r="773" spans="1:34" x14ac:dyDescent="0.25">
      <c r="A773" s="1">
        <v>44635</v>
      </c>
      <c r="B773">
        <v>558</v>
      </c>
      <c r="C773">
        <v>-2.4475523999999999E-2</v>
      </c>
      <c r="D773">
        <v>904</v>
      </c>
      <c r="E773">
        <v>-4.2372881000000001E-2</v>
      </c>
      <c r="F773">
        <v>1.7897356999999999E-2</v>
      </c>
      <c r="G773">
        <v>1.7897356999999999E-2</v>
      </c>
      <c r="H773">
        <v>2.3610519999999999E-2</v>
      </c>
      <c r="I773">
        <v>2.9080403000000001E-2</v>
      </c>
      <c r="J773">
        <v>1</v>
      </c>
      <c r="K773">
        <v>0</v>
      </c>
      <c r="L773">
        <v>0</v>
      </c>
      <c r="M773">
        <v>5</v>
      </c>
      <c r="N773">
        <v>2.8047245869999999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W773">
        <v>0</v>
      </c>
      <c r="X773">
        <v>0</v>
      </c>
      <c r="Y773">
        <v>0</v>
      </c>
      <c r="Z773">
        <v>2.9080403000000001E-2</v>
      </c>
      <c r="AA773">
        <v>0</v>
      </c>
      <c r="AB773" t="s">
        <v>33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f t="shared" si="12"/>
        <v>0</v>
      </c>
    </row>
    <row r="774" spans="1:34" x14ac:dyDescent="0.25">
      <c r="A774" s="1">
        <v>44636</v>
      </c>
      <c r="B774">
        <v>558</v>
      </c>
      <c r="C774">
        <v>0</v>
      </c>
      <c r="D774">
        <v>907</v>
      </c>
      <c r="E774">
        <v>3.3185839999999999E-3</v>
      </c>
      <c r="F774">
        <v>-3.3185839999999999E-3</v>
      </c>
      <c r="G774">
        <v>3.3185839999999999E-3</v>
      </c>
      <c r="H774">
        <v>2.2953522000000001E-2</v>
      </c>
      <c r="I774">
        <v>2.9107346999999999E-2</v>
      </c>
      <c r="J774">
        <v>0</v>
      </c>
      <c r="K774">
        <v>0</v>
      </c>
      <c r="L774">
        <v>0</v>
      </c>
      <c r="M774">
        <v>5</v>
      </c>
      <c r="N774" t="s">
        <v>36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W774">
        <v>0</v>
      </c>
      <c r="X774">
        <v>0</v>
      </c>
      <c r="Y774">
        <v>0</v>
      </c>
      <c r="Z774">
        <v>2.9107346999999999E-2</v>
      </c>
      <c r="AA774">
        <v>0</v>
      </c>
      <c r="AB774" t="s">
        <v>33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f t="shared" si="12"/>
        <v>0</v>
      </c>
    </row>
    <row r="775" spans="1:34" x14ac:dyDescent="0.25">
      <c r="A775" s="1">
        <v>44637</v>
      </c>
      <c r="B775">
        <v>582</v>
      </c>
      <c r="C775">
        <v>4.3010752999999999E-2</v>
      </c>
      <c r="D775">
        <v>968</v>
      </c>
      <c r="E775">
        <v>6.7254685999999994E-2</v>
      </c>
      <c r="F775">
        <v>-2.4243932999999999E-2</v>
      </c>
      <c r="G775">
        <v>2.4243932999999999E-2</v>
      </c>
      <c r="H775">
        <v>2.6851244E-2</v>
      </c>
      <c r="I775">
        <v>4.3706436000000001E-2</v>
      </c>
      <c r="J775">
        <v>0</v>
      </c>
      <c r="K775">
        <v>0</v>
      </c>
      <c r="L775">
        <v>0</v>
      </c>
      <c r="M775">
        <v>5</v>
      </c>
      <c r="N775">
        <v>2.6007456320000002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W775">
        <v>0</v>
      </c>
      <c r="X775">
        <v>0</v>
      </c>
      <c r="Y775">
        <v>0</v>
      </c>
      <c r="Z775">
        <v>4.3706436000000001E-2</v>
      </c>
      <c r="AA775">
        <v>0</v>
      </c>
      <c r="AB775" t="s">
        <v>33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f t="shared" si="12"/>
        <v>0</v>
      </c>
    </row>
    <row r="776" spans="1:34" x14ac:dyDescent="0.25">
      <c r="A776" s="1">
        <v>44638</v>
      </c>
      <c r="B776">
        <v>581</v>
      </c>
      <c r="C776">
        <v>-1.7182129999999999E-3</v>
      </c>
      <c r="D776">
        <v>969</v>
      </c>
      <c r="E776">
        <v>1.0330579999999999E-3</v>
      </c>
      <c r="F776">
        <v>-2.751271E-3</v>
      </c>
      <c r="G776">
        <v>2.751271E-3</v>
      </c>
      <c r="H776">
        <v>2.4760045000000001E-2</v>
      </c>
      <c r="I776">
        <v>4.0932702000000001E-2</v>
      </c>
      <c r="J776">
        <v>0</v>
      </c>
      <c r="K776">
        <v>0</v>
      </c>
      <c r="L776">
        <v>0</v>
      </c>
      <c r="M776">
        <v>5</v>
      </c>
      <c r="N776">
        <v>1.002756006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W776">
        <v>0</v>
      </c>
      <c r="X776">
        <v>0</v>
      </c>
      <c r="Y776">
        <v>0</v>
      </c>
      <c r="Z776">
        <v>4.0932702000000001E-2</v>
      </c>
      <c r="AA776">
        <v>0</v>
      </c>
      <c r="AB776" t="s">
        <v>33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f t="shared" si="12"/>
        <v>0</v>
      </c>
    </row>
    <row r="777" spans="1:34" x14ac:dyDescent="0.25">
      <c r="A777" s="1">
        <v>44641</v>
      </c>
      <c r="B777">
        <v>586</v>
      </c>
      <c r="C777">
        <v>8.6058520000000006E-3</v>
      </c>
      <c r="D777">
        <v>978</v>
      </c>
      <c r="E777">
        <v>9.2879260000000002E-3</v>
      </c>
      <c r="F777">
        <v>-6.8207399999999996E-4</v>
      </c>
      <c r="G777">
        <v>6.8207399999999996E-4</v>
      </c>
      <c r="H777">
        <v>2.4478177E-2</v>
      </c>
      <c r="I777">
        <v>3.9115918999999999E-2</v>
      </c>
      <c r="J777">
        <v>0</v>
      </c>
      <c r="K777">
        <v>0</v>
      </c>
      <c r="L777">
        <v>0</v>
      </c>
      <c r="M777">
        <v>5</v>
      </c>
      <c r="N777">
        <v>1.801217257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W777">
        <v>0</v>
      </c>
      <c r="X777">
        <v>0</v>
      </c>
      <c r="Y777">
        <v>0</v>
      </c>
      <c r="Z777">
        <v>3.9115918999999999E-2</v>
      </c>
      <c r="AA777">
        <v>0</v>
      </c>
      <c r="AB777" t="s">
        <v>33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f t="shared" si="12"/>
        <v>0</v>
      </c>
    </row>
    <row r="778" spans="1:34" x14ac:dyDescent="0.25">
      <c r="A778" s="1">
        <v>44642</v>
      </c>
      <c r="B778">
        <v>583</v>
      </c>
      <c r="C778">
        <v>-5.1194539999999998E-3</v>
      </c>
      <c r="D778">
        <v>975</v>
      </c>
      <c r="E778">
        <v>-3.067485E-3</v>
      </c>
      <c r="F778">
        <v>-2.0519689999999998E-3</v>
      </c>
      <c r="G778">
        <v>2.0519689999999998E-3</v>
      </c>
      <c r="H778">
        <v>1.9698450999999999E-2</v>
      </c>
      <c r="I778">
        <v>2.9238446000000001E-2</v>
      </c>
      <c r="J778">
        <v>0</v>
      </c>
      <c r="K778">
        <v>0</v>
      </c>
      <c r="L778">
        <v>0</v>
      </c>
      <c r="M778">
        <v>5</v>
      </c>
      <c r="N778">
        <v>1.002062528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W778">
        <v>0</v>
      </c>
      <c r="X778">
        <v>0</v>
      </c>
      <c r="Y778">
        <v>0</v>
      </c>
      <c r="Z778">
        <v>2.9238446000000001E-2</v>
      </c>
      <c r="AA778">
        <v>0</v>
      </c>
      <c r="AB778" t="s">
        <v>33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f t="shared" si="12"/>
        <v>0</v>
      </c>
    </row>
    <row r="779" spans="1:34" x14ac:dyDescent="0.25">
      <c r="A779" s="1">
        <v>44643</v>
      </c>
      <c r="B779">
        <v>590</v>
      </c>
      <c r="C779">
        <v>1.2006861000000001E-2</v>
      </c>
      <c r="D779">
        <v>977</v>
      </c>
      <c r="E779">
        <v>2.0512820000000002E-3</v>
      </c>
      <c r="F779">
        <v>9.9555790000000009E-3</v>
      </c>
      <c r="G779">
        <v>9.9555790000000009E-3</v>
      </c>
      <c r="H779">
        <v>1.9055091E-2</v>
      </c>
      <c r="I779">
        <v>2.9376319000000001E-2</v>
      </c>
      <c r="J779">
        <v>1</v>
      </c>
      <c r="K779">
        <v>0</v>
      </c>
      <c r="L779">
        <v>0</v>
      </c>
      <c r="M779">
        <v>5</v>
      </c>
      <c r="N779">
        <v>0.28290358199999999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W779">
        <v>0</v>
      </c>
      <c r="X779">
        <v>0</v>
      </c>
      <c r="Y779">
        <v>0</v>
      </c>
      <c r="Z779">
        <v>2.9376319000000001E-2</v>
      </c>
      <c r="AA779">
        <v>0</v>
      </c>
      <c r="AB779" t="s">
        <v>33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f t="shared" si="12"/>
        <v>0</v>
      </c>
    </row>
    <row r="780" spans="1:34" x14ac:dyDescent="0.25">
      <c r="A780" s="1">
        <v>44644</v>
      </c>
      <c r="B780">
        <v>591</v>
      </c>
      <c r="C780">
        <v>1.694915E-3</v>
      </c>
      <c r="D780">
        <v>972</v>
      </c>
      <c r="E780">
        <v>-5.117707E-3</v>
      </c>
      <c r="F780">
        <v>6.8126230000000003E-3</v>
      </c>
      <c r="G780">
        <v>6.8126230000000003E-3</v>
      </c>
      <c r="H780">
        <v>7.1132840000000001E-3</v>
      </c>
      <c r="I780">
        <v>5.5595549999999999E-3</v>
      </c>
      <c r="J780">
        <v>1</v>
      </c>
      <c r="K780">
        <v>0</v>
      </c>
      <c r="L780">
        <v>0</v>
      </c>
      <c r="M780">
        <v>5</v>
      </c>
      <c r="N780">
        <v>4.9659945240000001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W780">
        <v>0</v>
      </c>
      <c r="X780">
        <v>0</v>
      </c>
      <c r="Y780">
        <v>0</v>
      </c>
      <c r="Z780">
        <v>7.1132840000000001E-3</v>
      </c>
      <c r="AA780">
        <v>0</v>
      </c>
      <c r="AB780" t="s">
        <v>33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f t="shared" si="12"/>
        <v>0</v>
      </c>
    </row>
    <row r="781" spans="1:34" x14ac:dyDescent="0.25">
      <c r="A781" s="1">
        <v>44645</v>
      </c>
      <c r="B781">
        <v>598</v>
      </c>
      <c r="C781">
        <v>1.1844332000000001E-2</v>
      </c>
      <c r="D781">
        <v>971</v>
      </c>
      <c r="E781">
        <v>-1.0288070000000001E-3</v>
      </c>
      <c r="F781">
        <v>1.2873137999999999E-2</v>
      </c>
      <c r="G781">
        <v>1.2873137999999999E-2</v>
      </c>
      <c r="H781">
        <v>7.3996260000000003E-3</v>
      </c>
      <c r="I781">
        <v>5.617581E-3</v>
      </c>
      <c r="J781">
        <v>1</v>
      </c>
      <c r="K781">
        <v>1</v>
      </c>
      <c r="L781">
        <v>1</v>
      </c>
      <c r="M781">
        <v>5</v>
      </c>
      <c r="N781">
        <v>0.14103964999999999</v>
      </c>
      <c r="O781">
        <v>-1</v>
      </c>
      <c r="P781">
        <v>5</v>
      </c>
      <c r="Q781">
        <v>6</v>
      </c>
      <c r="R781">
        <v>598</v>
      </c>
      <c r="S781">
        <v>-4855</v>
      </c>
      <c r="T781">
        <v>0</v>
      </c>
      <c r="U781">
        <v>0</v>
      </c>
      <c r="V781" t="s">
        <v>34</v>
      </c>
      <c r="W781">
        <v>598</v>
      </c>
      <c r="X781">
        <v>-4855</v>
      </c>
      <c r="Y781">
        <v>0</v>
      </c>
      <c r="Z781">
        <v>7.3996260000000003E-3</v>
      </c>
      <c r="AA781">
        <v>5453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5453</v>
      </c>
      <c r="AH781">
        <f t="shared" si="12"/>
        <v>0</v>
      </c>
    </row>
    <row r="782" spans="1:34" x14ac:dyDescent="0.25">
      <c r="A782" s="1">
        <v>44648</v>
      </c>
      <c r="B782">
        <v>584</v>
      </c>
      <c r="C782">
        <v>-2.3411371E-2</v>
      </c>
      <c r="D782">
        <v>964</v>
      </c>
      <c r="E782">
        <v>-7.2090629999999999E-3</v>
      </c>
      <c r="F782">
        <v>-1.6202307999999999E-2</v>
      </c>
      <c r="G782">
        <v>1.6202307999999999E-2</v>
      </c>
      <c r="H782">
        <v>1.4661557E-2</v>
      </c>
      <c r="I782">
        <v>3.5891349999999998E-3</v>
      </c>
      <c r="J782">
        <v>0</v>
      </c>
      <c r="K782">
        <v>0</v>
      </c>
      <c r="L782">
        <v>-1</v>
      </c>
      <c r="M782">
        <v>5</v>
      </c>
      <c r="N782">
        <v>0.50829535999999997</v>
      </c>
      <c r="O782">
        <v>1</v>
      </c>
      <c r="P782">
        <v>-5</v>
      </c>
      <c r="Q782">
        <v>6</v>
      </c>
      <c r="R782">
        <v>-584</v>
      </c>
      <c r="S782">
        <v>4820</v>
      </c>
      <c r="T782">
        <v>14</v>
      </c>
      <c r="U782">
        <v>-35</v>
      </c>
      <c r="V782" t="s">
        <v>35</v>
      </c>
      <c r="W782">
        <v>-584</v>
      </c>
      <c r="X782">
        <v>4820</v>
      </c>
      <c r="Y782">
        <v>-21</v>
      </c>
      <c r="Z782">
        <v>1.4661557E-2</v>
      </c>
      <c r="AA782">
        <v>5404</v>
      </c>
      <c r="AB782">
        <v>0</v>
      </c>
      <c r="AC782">
        <v>-21</v>
      </c>
      <c r="AD782">
        <v>-3.8860100000000001E-3</v>
      </c>
      <c r="AE782">
        <v>0</v>
      </c>
      <c r="AF782">
        <v>-21</v>
      </c>
      <c r="AG782">
        <v>0</v>
      </c>
      <c r="AH782">
        <f t="shared" si="12"/>
        <v>-3.8860103626943004E-3</v>
      </c>
    </row>
    <row r="783" spans="1:34" x14ac:dyDescent="0.25">
      <c r="A783" s="1">
        <v>44649</v>
      </c>
      <c r="B783">
        <v>589</v>
      </c>
      <c r="C783">
        <v>8.5616440000000002E-3</v>
      </c>
      <c r="D783">
        <v>912</v>
      </c>
      <c r="E783">
        <v>-5.3941909000000003E-2</v>
      </c>
      <c r="F783">
        <v>6.2503553000000003E-2</v>
      </c>
      <c r="G783">
        <v>6.2503553000000003E-2</v>
      </c>
      <c r="H783">
        <v>1.4881508E-2</v>
      </c>
      <c r="I783">
        <v>2.3139488999999999E-2</v>
      </c>
      <c r="J783">
        <v>1</v>
      </c>
      <c r="K783">
        <v>1</v>
      </c>
      <c r="L783">
        <v>1</v>
      </c>
      <c r="M783">
        <v>5</v>
      </c>
      <c r="N783">
        <v>9.7554811939999997</v>
      </c>
      <c r="O783">
        <v>-49</v>
      </c>
      <c r="P783">
        <v>5</v>
      </c>
      <c r="Q783">
        <v>54</v>
      </c>
      <c r="R783">
        <v>28861</v>
      </c>
      <c r="S783">
        <v>-4560</v>
      </c>
      <c r="T783">
        <v>0</v>
      </c>
      <c r="U783">
        <v>0</v>
      </c>
      <c r="V783" t="s">
        <v>34</v>
      </c>
      <c r="W783">
        <v>28861</v>
      </c>
      <c r="X783">
        <v>-4560</v>
      </c>
      <c r="Y783">
        <v>0</v>
      </c>
      <c r="Z783">
        <v>2.3139488999999999E-2</v>
      </c>
      <c r="AA783">
        <v>33421</v>
      </c>
      <c r="AB783">
        <v>0.01</v>
      </c>
      <c r="AC783">
        <v>0</v>
      </c>
      <c r="AD783">
        <v>0</v>
      </c>
      <c r="AE783">
        <v>0</v>
      </c>
      <c r="AF783">
        <v>0</v>
      </c>
      <c r="AG783">
        <v>33421</v>
      </c>
      <c r="AH783">
        <f t="shared" si="12"/>
        <v>0</v>
      </c>
    </row>
    <row r="784" spans="1:34" x14ac:dyDescent="0.25">
      <c r="A784" s="1">
        <v>44650</v>
      </c>
      <c r="B784">
        <v>600</v>
      </c>
      <c r="C784">
        <v>1.8675721999999999E-2</v>
      </c>
      <c r="D784">
        <v>915</v>
      </c>
      <c r="E784">
        <v>3.2894740000000001E-3</v>
      </c>
      <c r="F784">
        <v>1.5386248E-2</v>
      </c>
      <c r="G784">
        <v>1.5386248E-2</v>
      </c>
      <c r="H784">
        <v>1.6225191E-2</v>
      </c>
      <c r="I784">
        <v>2.3347189000000001E-2</v>
      </c>
      <c r="J784">
        <v>1</v>
      </c>
      <c r="K784">
        <v>1</v>
      </c>
      <c r="L784">
        <v>0</v>
      </c>
      <c r="M784">
        <v>5</v>
      </c>
      <c r="N784">
        <v>0.26860795500000001</v>
      </c>
      <c r="O784">
        <v>49</v>
      </c>
      <c r="P784">
        <v>-5</v>
      </c>
      <c r="Q784">
        <v>54</v>
      </c>
      <c r="R784">
        <v>-29400</v>
      </c>
      <c r="S784">
        <v>4575</v>
      </c>
      <c r="T784">
        <v>-539</v>
      </c>
      <c r="U784">
        <v>15</v>
      </c>
      <c r="V784" t="s">
        <v>37</v>
      </c>
      <c r="W784">
        <v>0</v>
      </c>
      <c r="X784">
        <v>0</v>
      </c>
      <c r="Y784">
        <v>0</v>
      </c>
      <c r="Z784">
        <v>2.3347189000000001E-2</v>
      </c>
      <c r="AA784">
        <v>33975</v>
      </c>
      <c r="AB784">
        <v>0.01</v>
      </c>
      <c r="AC784">
        <v>-524</v>
      </c>
      <c r="AD784">
        <v>-1.5423104999999999E-2</v>
      </c>
      <c r="AE784">
        <v>0</v>
      </c>
      <c r="AF784">
        <v>0</v>
      </c>
      <c r="AG784">
        <v>0</v>
      </c>
      <c r="AH784">
        <f t="shared" si="12"/>
        <v>0</v>
      </c>
    </row>
    <row r="785" spans="1:34" x14ac:dyDescent="0.25">
      <c r="A785" s="1">
        <v>44651</v>
      </c>
      <c r="B785">
        <v>597</v>
      </c>
      <c r="C785">
        <v>-5.0000000000000001E-3</v>
      </c>
      <c r="D785">
        <v>905</v>
      </c>
      <c r="E785">
        <v>-1.0928962E-2</v>
      </c>
      <c r="F785">
        <v>5.9289620000000003E-3</v>
      </c>
      <c r="G785">
        <v>5.9289620000000003E-3</v>
      </c>
      <c r="H785">
        <v>1.6678531E-2</v>
      </c>
      <c r="I785">
        <v>2.3011277E-2</v>
      </c>
      <c r="J785">
        <v>1</v>
      </c>
      <c r="K785">
        <v>1</v>
      </c>
      <c r="L785">
        <v>0</v>
      </c>
      <c r="M785">
        <v>5</v>
      </c>
      <c r="N785">
        <v>3.3134708150000001</v>
      </c>
      <c r="O785">
        <v>49</v>
      </c>
      <c r="P785">
        <v>-5</v>
      </c>
      <c r="Q785">
        <v>54</v>
      </c>
      <c r="R785">
        <v>-29253</v>
      </c>
      <c r="S785">
        <v>4525</v>
      </c>
      <c r="T785">
        <v>-392</v>
      </c>
      <c r="U785">
        <v>-35</v>
      </c>
      <c r="V785" t="s">
        <v>37</v>
      </c>
      <c r="W785">
        <v>0</v>
      </c>
      <c r="X785">
        <v>0</v>
      </c>
      <c r="Y785">
        <v>0</v>
      </c>
      <c r="Z785">
        <v>2.3011277E-2</v>
      </c>
      <c r="AA785">
        <v>33778</v>
      </c>
      <c r="AB785">
        <v>0.01</v>
      </c>
      <c r="AC785">
        <v>-427</v>
      </c>
      <c r="AD785">
        <v>-1.2641364E-2</v>
      </c>
      <c r="AE785">
        <v>0</v>
      </c>
      <c r="AF785">
        <v>0</v>
      </c>
      <c r="AG785">
        <v>0</v>
      </c>
      <c r="AH785">
        <f t="shared" si="12"/>
        <v>0</v>
      </c>
    </row>
    <row r="786" spans="1:34" x14ac:dyDescent="0.25">
      <c r="A786" s="1">
        <v>44652</v>
      </c>
      <c r="B786">
        <v>589</v>
      </c>
      <c r="C786">
        <v>-1.3400334999999999E-2</v>
      </c>
      <c r="D786">
        <v>900</v>
      </c>
      <c r="E786">
        <v>-5.5248620000000002E-3</v>
      </c>
      <c r="F786">
        <v>-7.8754729999999992E-3</v>
      </c>
      <c r="G786">
        <v>7.8754729999999992E-3</v>
      </c>
      <c r="H786">
        <v>1.6824559999999999E-2</v>
      </c>
      <c r="I786">
        <v>2.2460707999999999E-2</v>
      </c>
      <c r="J786">
        <v>0</v>
      </c>
      <c r="K786">
        <v>0</v>
      </c>
      <c r="L786">
        <v>-1</v>
      </c>
      <c r="M786">
        <v>5</v>
      </c>
      <c r="N786">
        <v>0.62998902499999998</v>
      </c>
      <c r="O786">
        <v>49</v>
      </c>
      <c r="P786">
        <v>-5</v>
      </c>
      <c r="Q786">
        <v>54</v>
      </c>
      <c r="R786">
        <v>-28861</v>
      </c>
      <c r="S786">
        <v>4500</v>
      </c>
      <c r="T786">
        <v>0</v>
      </c>
      <c r="U786">
        <v>-60</v>
      </c>
      <c r="V786" t="s">
        <v>35</v>
      </c>
      <c r="W786">
        <v>-28861</v>
      </c>
      <c r="X786">
        <v>4500</v>
      </c>
      <c r="Y786">
        <v>-60</v>
      </c>
      <c r="Z786">
        <v>2.2460707999999999E-2</v>
      </c>
      <c r="AA786">
        <v>33361</v>
      </c>
      <c r="AB786">
        <v>0.01</v>
      </c>
      <c r="AC786">
        <v>-60</v>
      </c>
      <c r="AD786">
        <v>-1.798507E-3</v>
      </c>
      <c r="AE786">
        <v>0</v>
      </c>
      <c r="AF786">
        <v>-60</v>
      </c>
      <c r="AG786">
        <v>0</v>
      </c>
      <c r="AH786">
        <f t="shared" si="12"/>
        <v>-1.798507238991637E-3</v>
      </c>
    </row>
    <row r="787" spans="1:34" x14ac:dyDescent="0.25">
      <c r="A787" s="1">
        <v>44657</v>
      </c>
      <c r="B787">
        <v>578</v>
      </c>
      <c r="C787">
        <v>-1.8675721999999999E-2</v>
      </c>
      <c r="D787">
        <v>882</v>
      </c>
      <c r="E787">
        <v>-0.02</v>
      </c>
      <c r="F787">
        <v>1.3242779999999999E-3</v>
      </c>
      <c r="G787">
        <v>1.3242779999999999E-3</v>
      </c>
      <c r="H787">
        <v>1.5460239000000001E-2</v>
      </c>
      <c r="I787">
        <v>2.2096472999999998E-2</v>
      </c>
      <c r="J787">
        <v>1</v>
      </c>
      <c r="K787">
        <v>0</v>
      </c>
      <c r="L787">
        <v>0</v>
      </c>
      <c r="M787">
        <v>5</v>
      </c>
      <c r="N787">
        <v>1.6341553950000001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W787">
        <v>0</v>
      </c>
      <c r="X787">
        <v>0</v>
      </c>
      <c r="Y787">
        <v>0</v>
      </c>
      <c r="Z787">
        <v>2.2096472999999998E-2</v>
      </c>
      <c r="AA787">
        <v>0</v>
      </c>
      <c r="AB787" t="s">
        <v>33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f t="shared" si="12"/>
        <v>0</v>
      </c>
    </row>
    <row r="788" spans="1:34" x14ac:dyDescent="0.25">
      <c r="A788" s="1">
        <v>44658</v>
      </c>
      <c r="B788">
        <v>566</v>
      </c>
      <c r="C788">
        <v>-2.0761246000000001E-2</v>
      </c>
      <c r="D788">
        <v>850</v>
      </c>
      <c r="E788">
        <v>-3.6281178999999997E-2</v>
      </c>
      <c r="F788">
        <v>1.5519933E-2</v>
      </c>
      <c r="G788">
        <v>1.5519933E-2</v>
      </c>
      <c r="H788">
        <v>1.6019031999999999E-2</v>
      </c>
      <c r="I788">
        <v>1.5104424999999999E-2</v>
      </c>
      <c r="J788">
        <v>1</v>
      </c>
      <c r="K788">
        <v>0</v>
      </c>
      <c r="L788">
        <v>0</v>
      </c>
      <c r="M788">
        <v>5</v>
      </c>
      <c r="N788">
        <v>2.6244027249999999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W788">
        <v>0</v>
      </c>
      <c r="X788">
        <v>0</v>
      </c>
      <c r="Y788">
        <v>0</v>
      </c>
      <c r="Z788">
        <v>1.6019031999999999E-2</v>
      </c>
      <c r="AA788">
        <v>0</v>
      </c>
      <c r="AB788" t="s">
        <v>33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f t="shared" si="12"/>
        <v>0</v>
      </c>
    </row>
    <row r="789" spans="1:34" x14ac:dyDescent="0.25">
      <c r="A789" s="1">
        <v>44659</v>
      </c>
      <c r="B789">
        <v>567</v>
      </c>
      <c r="C789">
        <v>1.766784E-3</v>
      </c>
      <c r="D789">
        <v>840</v>
      </c>
      <c r="E789">
        <v>-1.1764706E-2</v>
      </c>
      <c r="F789">
        <v>1.353149E-2</v>
      </c>
      <c r="G789">
        <v>1.353149E-2</v>
      </c>
      <c r="H789">
        <v>9.4699759999999997E-3</v>
      </c>
      <c r="I789">
        <v>1.2006856999999999E-2</v>
      </c>
      <c r="J789">
        <v>1</v>
      </c>
      <c r="K789">
        <v>1</v>
      </c>
      <c r="L789">
        <v>1</v>
      </c>
      <c r="M789">
        <v>5</v>
      </c>
      <c r="N789">
        <v>9.8649237470000006</v>
      </c>
      <c r="O789">
        <v>-50</v>
      </c>
      <c r="P789">
        <v>5</v>
      </c>
      <c r="Q789">
        <v>55</v>
      </c>
      <c r="R789">
        <v>28350</v>
      </c>
      <c r="S789">
        <v>-4200</v>
      </c>
      <c r="T789">
        <v>0</v>
      </c>
      <c r="U789">
        <v>0</v>
      </c>
      <c r="V789" t="s">
        <v>34</v>
      </c>
      <c r="W789">
        <v>28350</v>
      </c>
      <c r="X789">
        <v>-4200</v>
      </c>
      <c r="Y789">
        <v>0</v>
      </c>
      <c r="Z789">
        <v>1.2006856999999999E-2</v>
      </c>
      <c r="AA789">
        <v>32550</v>
      </c>
      <c r="AB789">
        <v>0.01</v>
      </c>
      <c r="AC789">
        <v>0</v>
      </c>
      <c r="AD789">
        <v>0</v>
      </c>
      <c r="AE789">
        <v>0</v>
      </c>
      <c r="AF789">
        <v>0</v>
      </c>
      <c r="AG789">
        <v>32550</v>
      </c>
      <c r="AH789">
        <f t="shared" si="12"/>
        <v>0</v>
      </c>
    </row>
    <row r="790" spans="1:34" x14ac:dyDescent="0.25">
      <c r="A790" s="1">
        <v>44662</v>
      </c>
      <c r="B790">
        <v>558</v>
      </c>
      <c r="C790">
        <v>-1.5873016E-2</v>
      </c>
      <c r="D790">
        <v>836</v>
      </c>
      <c r="E790">
        <v>-4.7619050000000003E-3</v>
      </c>
      <c r="F790">
        <v>-1.1111111E-2</v>
      </c>
      <c r="G790">
        <v>1.1111111E-2</v>
      </c>
      <c r="H790">
        <v>8.9186279999999996E-3</v>
      </c>
      <c r="I790">
        <v>1.3045413E-2</v>
      </c>
      <c r="J790">
        <v>0</v>
      </c>
      <c r="K790">
        <v>0</v>
      </c>
      <c r="L790">
        <v>-1</v>
      </c>
      <c r="M790">
        <v>5</v>
      </c>
      <c r="N790">
        <v>0.449462366</v>
      </c>
      <c r="O790">
        <v>50</v>
      </c>
      <c r="P790">
        <v>-5</v>
      </c>
      <c r="Q790">
        <v>55</v>
      </c>
      <c r="R790">
        <v>-27900</v>
      </c>
      <c r="S790">
        <v>4180</v>
      </c>
      <c r="T790">
        <v>450</v>
      </c>
      <c r="U790">
        <v>-20</v>
      </c>
      <c r="V790" t="s">
        <v>35</v>
      </c>
      <c r="W790">
        <v>-27900</v>
      </c>
      <c r="X790">
        <v>4180</v>
      </c>
      <c r="Y790">
        <v>430</v>
      </c>
      <c r="Z790">
        <v>1.3045413E-2</v>
      </c>
      <c r="AA790">
        <v>32080</v>
      </c>
      <c r="AB790">
        <v>0.01</v>
      </c>
      <c r="AC790">
        <v>430</v>
      </c>
      <c r="AD790">
        <v>1.3403989999999999E-2</v>
      </c>
      <c r="AE790">
        <v>0</v>
      </c>
      <c r="AF790">
        <v>430</v>
      </c>
      <c r="AG790">
        <v>0</v>
      </c>
      <c r="AH790">
        <f t="shared" si="12"/>
        <v>1.3403990024937655E-2</v>
      </c>
    </row>
    <row r="791" spans="1:34" x14ac:dyDescent="0.25">
      <c r="A791" s="1">
        <v>44663</v>
      </c>
      <c r="B791">
        <v>557</v>
      </c>
      <c r="C791">
        <v>-1.7921149999999999E-3</v>
      </c>
      <c r="D791">
        <v>842</v>
      </c>
      <c r="E791">
        <v>7.1770330000000002E-3</v>
      </c>
      <c r="F791">
        <v>-8.9691479999999997E-3</v>
      </c>
      <c r="G791">
        <v>8.9691479999999997E-3</v>
      </c>
      <c r="H791">
        <v>1.0316229E-2</v>
      </c>
      <c r="I791">
        <v>1.6335839000000001E-2</v>
      </c>
      <c r="J791">
        <v>0</v>
      </c>
      <c r="K791">
        <v>0</v>
      </c>
      <c r="L791">
        <v>0</v>
      </c>
      <c r="M791">
        <v>5</v>
      </c>
      <c r="N791">
        <v>6.0539115050000003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W791">
        <v>0</v>
      </c>
      <c r="X791">
        <v>0</v>
      </c>
      <c r="Y791">
        <v>0</v>
      </c>
      <c r="Z791">
        <v>1.6335839000000001E-2</v>
      </c>
      <c r="AA791">
        <v>0</v>
      </c>
      <c r="AB791" t="s">
        <v>33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f t="shared" si="12"/>
        <v>0</v>
      </c>
    </row>
    <row r="792" spans="1:34" x14ac:dyDescent="0.25">
      <c r="A792" s="1">
        <v>44664</v>
      </c>
      <c r="B792">
        <v>573</v>
      </c>
      <c r="C792">
        <v>2.8725313999999998E-2</v>
      </c>
      <c r="D792">
        <v>880</v>
      </c>
      <c r="E792">
        <v>4.5130640999999999E-2</v>
      </c>
      <c r="F792">
        <v>-1.6405327000000001E-2</v>
      </c>
      <c r="G792">
        <v>1.6405327000000001E-2</v>
      </c>
      <c r="H792">
        <v>1.9376972999999999E-2</v>
      </c>
      <c r="I792">
        <v>2.9856501000000001E-2</v>
      </c>
      <c r="J792">
        <v>0</v>
      </c>
      <c r="K792">
        <v>0</v>
      </c>
      <c r="L792">
        <v>0</v>
      </c>
      <c r="M792">
        <v>5</v>
      </c>
      <c r="N792">
        <v>2.4128746900000002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W792">
        <v>0</v>
      </c>
      <c r="X792">
        <v>0</v>
      </c>
      <c r="Y792">
        <v>0</v>
      </c>
      <c r="Z792">
        <v>2.9856501000000001E-2</v>
      </c>
      <c r="AA792">
        <v>0</v>
      </c>
      <c r="AB792" t="s">
        <v>33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f t="shared" si="12"/>
        <v>0</v>
      </c>
    </row>
    <row r="793" spans="1:34" x14ac:dyDescent="0.25">
      <c r="A793" s="1">
        <v>44665</v>
      </c>
      <c r="B793">
        <v>573</v>
      </c>
      <c r="C793">
        <v>0</v>
      </c>
      <c r="D793">
        <v>861</v>
      </c>
      <c r="E793">
        <v>-2.1590908999999998E-2</v>
      </c>
      <c r="F793">
        <v>2.1590908999999998E-2</v>
      </c>
      <c r="G793">
        <v>2.1590908999999998E-2</v>
      </c>
      <c r="H793">
        <v>1.6205888000000002E-2</v>
      </c>
      <c r="I793">
        <v>2.5861477000000001E-2</v>
      </c>
      <c r="J793">
        <v>1</v>
      </c>
      <c r="K793">
        <v>0</v>
      </c>
      <c r="L793">
        <v>0</v>
      </c>
      <c r="M793">
        <v>5</v>
      </c>
      <c r="N793" t="s">
        <v>36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W793">
        <v>0</v>
      </c>
      <c r="X793">
        <v>0</v>
      </c>
      <c r="Y793">
        <v>0</v>
      </c>
      <c r="Z793">
        <v>2.5861477000000001E-2</v>
      </c>
      <c r="AA793">
        <v>0</v>
      </c>
      <c r="AB793" t="s">
        <v>33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f t="shared" si="12"/>
        <v>0</v>
      </c>
    </row>
    <row r="794" spans="1:34" x14ac:dyDescent="0.25">
      <c r="A794" s="1">
        <v>44666</v>
      </c>
      <c r="B794">
        <v>562</v>
      </c>
      <c r="C794">
        <v>-1.9197208E-2</v>
      </c>
      <c r="D794">
        <v>832</v>
      </c>
      <c r="E794">
        <v>-3.3681765000000002E-2</v>
      </c>
      <c r="F794">
        <v>1.4484558E-2</v>
      </c>
      <c r="G794">
        <v>1.4484558E-2</v>
      </c>
      <c r="H794">
        <v>1.8944646999999998E-2</v>
      </c>
      <c r="I794">
        <v>3.0412366E-2</v>
      </c>
      <c r="J794">
        <v>1</v>
      </c>
      <c r="K794">
        <v>0</v>
      </c>
      <c r="L794">
        <v>0</v>
      </c>
      <c r="M794">
        <v>5</v>
      </c>
      <c r="N794">
        <v>2.5974296510000001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W794">
        <v>0</v>
      </c>
      <c r="X794">
        <v>0</v>
      </c>
      <c r="Y794">
        <v>0</v>
      </c>
      <c r="Z794">
        <v>3.0412366E-2</v>
      </c>
      <c r="AA794">
        <v>0</v>
      </c>
      <c r="AB794" t="s">
        <v>33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f t="shared" si="12"/>
        <v>0</v>
      </c>
    </row>
    <row r="795" spans="1:34" x14ac:dyDescent="0.25">
      <c r="A795" s="1">
        <v>44669</v>
      </c>
      <c r="B795">
        <v>561</v>
      </c>
      <c r="C795">
        <v>-1.7793590000000001E-3</v>
      </c>
      <c r="D795">
        <v>833</v>
      </c>
      <c r="E795">
        <v>1.2019229999999999E-3</v>
      </c>
      <c r="F795">
        <v>-2.9812829999999999E-3</v>
      </c>
      <c r="G795">
        <v>2.9812829999999999E-3</v>
      </c>
      <c r="H795">
        <v>1.7269612E-2</v>
      </c>
      <c r="I795">
        <v>3.0371598999999999E-2</v>
      </c>
      <c r="J795">
        <v>0</v>
      </c>
      <c r="K795">
        <v>0</v>
      </c>
      <c r="L795">
        <v>0</v>
      </c>
      <c r="M795">
        <v>5</v>
      </c>
      <c r="N795">
        <v>1.002986597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W795">
        <v>0</v>
      </c>
      <c r="X795">
        <v>0</v>
      </c>
      <c r="Y795">
        <v>0</v>
      </c>
      <c r="Z795">
        <v>3.0371598999999999E-2</v>
      </c>
      <c r="AA795">
        <v>0</v>
      </c>
      <c r="AB795" t="s">
        <v>33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f t="shared" si="12"/>
        <v>0</v>
      </c>
    </row>
    <row r="796" spans="1:34" x14ac:dyDescent="0.25">
      <c r="A796" s="1">
        <v>44670</v>
      </c>
      <c r="B796">
        <v>565</v>
      </c>
      <c r="C796">
        <v>7.1301250000000002E-3</v>
      </c>
      <c r="D796">
        <v>838</v>
      </c>
      <c r="E796">
        <v>6.0024010000000001E-3</v>
      </c>
      <c r="F796">
        <v>1.1277240000000001E-3</v>
      </c>
      <c r="G796">
        <v>1.1277240000000001E-3</v>
      </c>
      <c r="H796">
        <v>1.7345065E-2</v>
      </c>
      <c r="I796">
        <v>3.0303262000000001E-2</v>
      </c>
      <c r="J796">
        <v>1</v>
      </c>
      <c r="K796">
        <v>0</v>
      </c>
      <c r="L796">
        <v>0</v>
      </c>
      <c r="M796">
        <v>5</v>
      </c>
      <c r="N796">
        <v>1.248600325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W796">
        <v>0</v>
      </c>
      <c r="X796">
        <v>0</v>
      </c>
      <c r="Y796">
        <v>0</v>
      </c>
      <c r="Z796">
        <v>3.0303262000000001E-2</v>
      </c>
      <c r="AA796">
        <v>0</v>
      </c>
      <c r="AB796" t="s">
        <v>33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f t="shared" si="12"/>
        <v>0</v>
      </c>
    </row>
    <row r="797" spans="1:34" x14ac:dyDescent="0.25">
      <c r="A797" s="1">
        <v>44671</v>
      </c>
      <c r="B797">
        <v>570</v>
      </c>
      <c r="C797">
        <v>8.8495580000000004E-3</v>
      </c>
      <c r="D797">
        <v>856</v>
      </c>
      <c r="E797">
        <v>2.1479714E-2</v>
      </c>
      <c r="F797">
        <v>-1.2630156E-2</v>
      </c>
      <c r="G797">
        <v>1.2630156E-2</v>
      </c>
      <c r="H797">
        <v>1.113394E-2</v>
      </c>
      <c r="I797">
        <v>2.212515E-2</v>
      </c>
      <c r="J797">
        <v>0</v>
      </c>
      <c r="K797">
        <v>0</v>
      </c>
      <c r="L797">
        <v>0</v>
      </c>
      <c r="M797">
        <v>5</v>
      </c>
      <c r="N797">
        <v>3.645069715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W797">
        <v>0</v>
      </c>
      <c r="X797">
        <v>0</v>
      </c>
      <c r="Y797">
        <v>0</v>
      </c>
      <c r="Z797">
        <v>2.212515E-2</v>
      </c>
      <c r="AA797">
        <v>0</v>
      </c>
      <c r="AB797" t="s">
        <v>33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f t="shared" si="12"/>
        <v>0</v>
      </c>
    </row>
    <row r="798" spans="1:34" x14ac:dyDescent="0.25">
      <c r="A798" s="1">
        <v>44672</v>
      </c>
      <c r="B798">
        <v>565</v>
      </c>
      <c r="C798">
        <v>-8.7719300000000007E-3</v>
      </c>
      <c r="D798">
        <v>868</v>
      </c>
      <c r="E798">
        <v>1.4018691999999999E-2</v>
      </c>
      <c r="F798">
        <v>-2.2790621E-2</v>
      </c>
      <c r="G798">
        <v>2.2790621E-2</v>
      </c>
      <c r="H798">
        <v>1.1617690999999999E-2</v>
      </c>
      <c r="I798">
        <v>2.1292963000000002E-2</v>
      </c>
      <c r="J798">
        <v>0</v>
      </c>
      <c r="K798">
        <v>1</v>
      </c>
      <c r="L798">
        <v>1</v>
      </c>
      <c r="M798">
        <v>5</v>
      </c>
      <c r="N798">
        <v>2.4551815399999999</v>
      </c>
      <c r="O798">
        <v>13</v>
      </c>
      <c r="P798">
        <v>-5</v>
      </c>
      <c r="Q798">
        <v>18</v>
      </c>
      <c r="R798">
        <v>-7345</v>
      </c>
      <c r="S798">
        <v>4340</v>
      </c>
      <c r="T798">
        <v>0</v>
      </c>
      <c r="U798">
        <v>0</v>
      </c>
      <c r="V798" t="s">
        <v>34</v>
      </c>
      <c r="W798">
        <v>-7345</v>
      </c>
      <c r="X798">
        <v>4340</v>
      </c>
      <c r="Y798">
        <v>0</v>
      </c>
      <c r="Z798">
        <v>2.1292963000000002E-2</v>
      </c>
      <c r="AA798">
        <v>11685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11685</v>
      </c>
      <c r="AH798">
        <f t="shared" si="12"/>
        <v>0</v>
      </c>
    </row>
    <row r="799" spans="1:34" x14ac:dyDescent="0.25">
      <c r="A799" s="1">
        <v>44673</v>
      </c>
      <c r="B799">
        <v>558</v>
      </c>
      <c r="C799">
        <v>-1.2389381E-2</v>
      </c>
      <c r="D799">
        <v>854</v>
      </c>
      <c r="E799">
        <v>-1.6129032000000001E-2</v>
      </c>
      <c r="F799">
        <v>3.739652E-3</v>
      </c>
      <c r="G799">
        <v>3.739652E-3</v>
      </c>
      <c r="H799">
        <v>9.3951039999999996E-3</v>
      </c>
      <c r="I799">
        <v>1.4267871999999999E-2</v>
      </c>
      <c r="J799">
        <v>1</v>
      </c>
      <c r="K799">
        <v>0</v>
      </c>
      <c r="L799">
        <v>-1</v>
      </c>
      <c r="M799">
        <v>5</v>
      </c>
      <c r="N799">
        <v>1.9924268700000001</v>
      </c>
      <c r="O799">
        <v>-13</v>
      </c>
      <c r="P799">
        <v>5</v>
      </c>
      <c r="Q799">
        <v>18</v>
      </c>
      <c r="R799">
        <v>7254</v>
      </c>
      <c r="S799">
        <v>-4270</v>
      </c>
      <c r="T799">
        <v>-91</v>
      </c>
      <c r="U799">
        <v>70</v>
      </c>
      <c r="V799" t="s">
        <v>35</v>
      </c>
      <c r="W799">
        <v>7254</v>
      </c>
      <c r="X799">
        <v>-4270</v>
      </c>
      <c r="Y799">
        <v>-21</v>
      </c>
      <c r="Z799">
        <v>1.4267871999999999E-2</v>
      </c>
      <c r="AA799">
        <v>11524</v>
      </c>
      <c r="AB799">
        <v>0</v>
      </c>
      <c r="AC799">
        <v>-21</v>
      </c>
      <c r="AD799">
        <v>-1.822284E-3</v>
      </c>
      <c r="AE799">
        <v>0</v>
      </c>
      <c r="AF799">
        <v>-21</v>
      </c>
      <c r="AG799">
        <v>0</v>
      </c>
      <c r="AH799">
        <f t="shared" si="12"/>
        <v>-1.8222839291912531E-3</v>
      </c>
    </row>
    <row r="800" spans="1:34" x14ac:dyDescent="0.25">
      <c r="A800" s="1">
        <v>44676</v>
      </c>
      <c r="B800">
        <v>547</v>
      </c>
      <c r="C800">
        <v>-1.9713261999999999E-2</v>
      </c>
      <c r="D800">
        <v>837</v>
      </c>
      <c r="E800">
        <v>-1.9906323E-2</v>
      </c>
      <c r="F800">
        <v>1.93062E-4</v>
      </c>
      <c r="G800">
        <v>1.93062E-4</v>
      </c>
      <c r="H800">
        <v>1.2492582E-2</v>
      </c>
      <c r="I800">
        <v>1.8332782999999998E-2</v>
      </c>
      <c r="J800">
        <v>1</v>
      </c>
      <c r="K800">
        <v>0</v>
      </c>
      <c r="L800">
        <v>0</v>
      </c>
      <c r="M800">
        <v>5</v>
      </c>
      <c r="N800">
        <v>1.5451501780000001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W800">
        <v>0</v>
      </c>
      <c r="X800">
        <v>0</v>
      </c>
      <c r="Y800">
        <v>0</v>
      </c>
      <c r="Z800">
        <v>1.8332782999999998E-2</v>
      </c>
      <c r="AA800">
        <v>0</v>
      </c>
      <c r="AB800" t="s">
        <v>33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f t="shared" si="12"/>
        <v>0</v>
      </c>
    </row>
    <row r="801" spans="1:34" x14ac:dyDescent="0.25">
      <c r="A801" s="1">
        <v>44677</v>
      </c>
      <c r="B801">
        <v>546</v>
      </c>
      <c r="C801">
        <v>-1.828154E-3</v>
      </c>
      <c r="D801">
        <v>833</v>
      </c>
      <c r="E801">
        <v>-4.7789729999999997E-3</v>
      </c>
      <c r="F801">
        <v>2.9508189999999999E-3</v>
      </c>
      <c r="G801">
        <v>2.9508189999999999E-3</v>
      </c>
      <c r="H801">
        <v>1.085709E-2</v>
      </c>
      <c r="I801">
        <v>1.8244835000000001E-2</v>
      </c>
      <c r="J801">
        <v>1</v>
      </c>
      <c r="K801">
        <v>0</v>
      </c>
      <c r="L801">
        <v>0</v>
      </c>
      <c r="M801">
        <v>5</v>
      </c>
      <c r="N801">
        <v>3.9881751059999999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W801">
        <v>0</v>
      </c>
      <c r="X801">
        <v>0</v>
      </c>
      <c r="Y801">
        <v>0</v>
      </c>
      <c r="Z801">
        <v>1.8244835000000001E-2</v>
      </c>
      <c r="AA801">
        <v>0</v>
      </c>
      <c r="AB801" t="s">
        <v>33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f t="shared" si="12"/>
        <v>0</v>
      </c>
    </row>
    <row r="802" spans="1:34" x14ac:dyDescent="0.25">
      <c r="A802" s="1">
        <v>44678</v>
      </c>
      <c r="B802">
        <v>526</v>
      </c>
      <c r="C802">
        <v>-3.6630036999999997E-2</v>
      </c>
      <c r="D802">
        <v>808</v>
      </c>
      <c r="E802">
        <v>-3.0012005000000001E-2</v>
      </c>
      <c r="F802">
        <v>-6.6180320000000003E-3</v>
      </c>
      <c r="G802">
        <v>6.6180320000000003E-3</v>
      </c>
      <c r="H802">
        <v>1.3279877000000001E-2</v>
      </c>
      <c r="I802">
        <v>1.6815680999999999E-2</v>
      </c>
      <c r="J802">
        <v>0</v>
      </c>
      <c r="K802">
        <v>0</v>
      </c>
      <c r="L802">
        <v>0</v>
      </c>
      <c r="M802">
        <v>5</v>
      </c>
      <c r="N802">
        <v>1.258587085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W802">
        <v>0</v>
      </c>
      <c r="X802">
        <v>0</v>
      </c>
      <c r="Y802">
        <v>0</v>
      </c>
      <c r="Z802">
        <v>1.6815680999999999E-2</v>
      </c>
      <c r="AA802">
        <v>0</v>
      </c>
      <c r="AB802" t="s">
        <v>33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f t="shared" si="12"/>
        <v>0</v>
      </c>
    </row>
    <row r="803" spans="1:34" x14ac:dyDescent="0.25">
      <c r="A803" s="1">
        <v>44679</v>
      </c>
      <c r="B803">
        <v>531</v>
      </c>
      <c r="C803">
        <v>9.5057030000000008E-3</v>
      </c>
      <c r="D803">
        <v>828</v>
      </c>
      <c r="E803">
        <v>2.4752474999999999E-2</v>
      </c>
      <c r="F803">
        <v>-1.5246772E-2</v>
      </c>
      <c r="G803">
        <v>1.5246772E-2</v>
      </c>
      <c r="H803">
        <v>1.7550098E-2</v>
      </c>
      <c r="I803">
        <v>2.1024339E-2</v>
      </c>
      <c r="J803">
        <v>0</v>
      </c>
      <c r="K803">
        <v>0</v>
      </c>
      <c r="L803">
        <v>0</v>
      </c>
      <c r="M803">
        <v>5</v>
      </c>
      <c r="N803">
        <v>4.0604128209999999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W803">
        <v>0</v>
      </c>
      <c r="X803">
        <v>0</v>
      </c>
      <c r="Y803">
        <v>0</v>
      </c>
      <c r="Z803">
        <v>2.1024339E-2</v>
      </c>
      <c r="AA803">
        <v>0</v>
      </c>
      <c r="AB803" t="s">
        <v>33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f t="shared" si="12"/>
        <v>0</v>
      </c>
    </row>
    <row r="804" spans="1:34" x14ac:dyDescent="0.25">
      <c r="A804" s="1">
        <v>44680</v>
      </c>
      <c r="B804">
        <v>538</v>
      </c>
      <c r="C804">
        <v>1.3182674E-2</v>
      </c>
      <c r="D804">
        <v>830</v>
      </c>
      <c r="E804">
        <v>2.415459E-3</v>
      </c>
      <c r="F804">
        <v>1.0767215E-2</v>
      </c>
      <c r="G804">
        <v>1.0767215E-2</v>
      </c>
      <c r="H804">
        <v>2.0892858E-2</v>
      </c>
      <c r="I804">
        <v>2.1135082999999999E-2</v>
      </c>
      <c r="J804">
        <v>1</v>
      </c>
      <c r="K804">
        <v>0</v>
      </c>
      <c r="L804">
        <v>0</v>
      </c>
      <c r="M804">
        <v>5</v>
      </c>
      <c r="N804">
        <v>0.28267796499999998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W804">
        <v>0</v>
      </c>
      <c r="X804">
        <v>0</v>
      </c>
      <c r="Y804">
        <v>0</v>
      </c>
      <c r="Z804">
        <v>2.1135082999999999E-2</v>
      </c>
      <c r="AA804">
        <v>0</v>
      </c>
      <c r="AB804" t="s">
        <v>33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f t="shared" si="12"/>
        <v>0</v>
      </c>
    </row>
    <row r="805" spans="1:34" x14ac:dyDescent="0.25">
      <c r="A805" s="1">
        <v>44684</v>
      </c>
      <c r="B805">
        <v>531</v>
      </c>
      <c r="C805">
        <v>-1.3011152E-2</v>
      </c>
      <c r="D805">
        <v>820</v>
      </c>
      <c r="E805">
        <v>-1.2048193E-2</v>
      </c>
      <c r="F805">
        <v>-9.6296000000000001E-4</v>
      </c>
      <c r="G805">
        <v>9.6296000000000001E-4</v>
      </c>
      <c r="H805">
        <v>2.0080240999999999E-2</v>
      </c>
      <c r="I805">
        <v>2.0061443000000002E-2</v>
      </c>
      <c r="J805">
        <v>0</v>
      </c>
      <c r="K805">
        <v>0</v>
      </c>
      <c r="L805">
        <v>0</v>
      </c>
      <c r="M805">
        <v>5</v>
      </c>
      <c r="N805">
        <v>1.4299652199999999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W805">
        <v>0</v>
      </c>
      <c r="X805">
        <v>0</v>
      </c>
      <c r="Y805">
        <v>0</v>
      </c>
      <c r="Z805">
        <v>2.0080240999999999E-2</v>
      </c>
      <c r="AA805">
        <v>0</v>
      </c>
      <c r="AB805" t="s">
        <v>33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f t="shared" si="12"/>
        <v>0</v>
      </c>
    </row>
    <row r="806" spans="1:34" x14ac:dyDescent="0.25">
      <c r="A806" s="1">
        <v>44685</v>
      </c>
      <c r="B806">
        <v>534</v>
      </c>
      <c r="C806">
        <v>5.6497179999999998E-3</v>
      </c>
      <c r="D806">
        <v>829</v>
      </c>
      <c r="E806">
        <v>1.097561E-2</v>
      </c>
      <c r="F806">
        <v>-5.3258919999999996E-3</v>
      </c>
      <c r="G806">
        <v>5.3258919999999996E-3</v>
      </c>
      <c r="H806">
        <v>2.0714402999999999E-2</v>
      </c>
      <c r="I806">
        <v>2.1105656E-2</v>
      </c>
      <c r="J806">
        <v>0</v>
      </c>
      <c r="K806">
        <v>0</v>
      </c>
      <c r="L806">
        <v>0</v>
      </c>
      <c r="M806">
        <v>5</v>
      </c>
      <c r="N806">
        <v>3.0158879139999999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W806">
        <v>0</v>
      </c>
      <c r="X806">
        <v>0</v>
      </c>
      <c r="Y806">
        <v>0</v>
      </c>
      <c r="Z806">
        <v>2.1105656E-2</v>
      </c>
      <c r="AA806">
        <v>0</v>
      </c>
      <c r="AB806" t="s">
        <v>33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f t="shared" si="12"/>
        <v>0</v>
      </c>
    </row>
    <row r="807" spans="1:34" x14ac:dyDescent="0.25">
      <c r="A807" s="1">
        <v>44686</v>
      </c>
      <c r="B807">
        <v>542</v>
      </c>
      <c r="C807">
        <v>1.4981273E-2</v>
      </c>
      <c r="D807">
        <v>841</v>
      </c>
      <c r="E807">
        <v>1.4475271E-2</v>
      </c>
      <c r="F807">
        <v>5.0600199999999997E-4</v>
      </c>
      <c r="G807">
        <v>5.0600199999999997E-4</v>
      </c>
      <c r="H807">
        <v>1.1248018E-2</v>
      </c>
      <c r="I807">
        <v>1.3824622999999999E-2</v>
      </c>
      <c r="J807">
        <v>1</v>
      </c>
      <c r="K807">
        <v>0</v>
      </c>
      <c r="L807">
        <v>0</v>
      </c>
      <c r="M807">
        <v>5</v>
      </c>
      <c r="N807">
        <v>1.4992521999999999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W807">
        <v>0</v>
      </c>
      <c r="X807">
        <v>0</v>
      </c>
      <c r="Y807">
        <v>0</v>
      </c>
      <c r="Z807">
        <v>1.3824622999999999E-2</v>
      </c>
      <c r="AA807">
        <v>0</v>
      </c>
      <c r="AB807" t="s">
        <v>33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f t="shared" si="12"/>
        <v>0</v>
      </c>
    </row>
    <row r="808" spans="1:34" x14ac:dyDescent="0.25">
      <c r="A808" s="1">
        <v>44687</v>
      </c>
      <c r="B808">
        <v>528</v>
      </c>
      <c r="C808">
        <v>-2.5830257999999998E-2</v>
      </c>
      <c r="D808">
        <v>834</v>
      </c>
      <c r="E808">
        <v>-8.3234239999999994E-3</v>
      </c>
      <c r="F808">
        <v>-1.7506833999999999E-2</v>
      </c>
      <c r="G808">
        <v>1.7506833999999999E-2</v>
      </c>
      <c r="H808">
        <v>1.7759345999999999E-2</v>
      </c>
      <c r="I808">
        <v>1.1608576000000001E-2</v>
      </c>
      <c r="J808">
        <v>0</v>
      </c>
      <c r="K808">
        <v>0</v>
      </c>
      <c r="L808">
        <v>0</v>
      </c>
      <c r="M808">
        <v>5</v>
      </c>
      <c r="N808">
        <v>0.508985515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W808">
        <v>0</v>
      </c>
      <c r="X808">
        <v>0</v>
      </c>
      <c r="Y808">
        <v>0</v>
      </c>
      <c r="Z808">
        <v>1.7759345999999999E-2</v>
      </c>
      <c r="AA808">
        <v>0</v>
      </c>
      <c r="AB808" t="s">
        <v>33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f t="shared" si="12"/>
        <v>0</v>
      </c>
    </row>
    <row r="809" spans="1:34" x14ac:dyDescent="0.25">
      <c r="A809" s="1">
        <v>44690</v>
      </c>
      <c r="B809">
        <v>520</v>
      </c>
      <c r="C809">
        <v>-1.5151515000000001E-2</v>
      </c>
      <c r="D809">
        <v>813</v>
      </c>
      <c r="E809">
        <v>-2.5179856E-2</v>
      </c>
      <c r="F809">
        <v>1.0028341E-2</v>
      </c>
      <c r="G809">
        <v>1.0028341E-2</v>
      </c>
      <c r="H809">
        <v>1.6581728E-2</v>
      </c>
      <c r="I809">
        <v>1.6565433000000001E-2</v>
      </c>
      <c r="J809">
        <v>1</v>
      </c>
      <c r="K809">
        <v>0</v>
      </c>
      <c r="L809">
        <v>0</v>
      </c>
      <c r="M809">
        <v>5</v>
      </c>
      <c r="N809">
        <v>2.598270614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W809">
        <v>0</v>
      </c>
      <c r="X809">
        <v>0</v>
      </c>
      <c r="Y809">
        <v>0</v>
      </c>
      <c r="Z809">
        <v>1.6581728E-2</v>
      </c>
      <c r="AA809">
        <v>0</v>
      </c>
      <c r="AB809" t="s">
        <v>33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f t="shared" si="12"/>
        <v>0</v>
      </c>
    </row>
    <row r="810" spans="1:34" x14ac:dyDescent="0.25">
      <c r="A810" s="1">
        <v>44691</v>
      </c>
      <c r="B810">
        <v>518</v>
      </c>
      <c r="C810">
        <v>-3.8461540000000001E-3</v>
      </c>
      <c r="D810">
        <v>820</v>
      </c>
      <c r="E810">
        <v>8.6100859999999994E-3</v>
      </c>
      <c r="F810">
        <v>-1.245624E-2</v>
      </c>
      <c r="G810">
        <v>1.245624E-2</v>
      </c>
      <c r="H810">
        <v>1.6208200999999998E-2</v>
      </c>
      <c r="I810">
        <v>1.6638610000000002E-2</v>
      </c>
      <c r="J810">
        <v>0</v>
      </c>
      <c r="K810">
        <v>0</v>
      </c>
      <c r="L810">
        <v>0</v>
      </c>
      <c r="M810">
        <v>5</v>
      </c>
      <c r="N810">
        <v>3.5437651670000001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W810">
        <v>0</v>
      </c>
      <c r="X810">
        <v>0</v>
      </c>
      <c r="Y810">
        <v>0</v>
      </c>
      <c r="Z810">
        <v>1.6638610000000002E-2</v>
      </c>
      <c r="AA810">
        <v>0</v>
      </c>
      <c r="AB810" t="s">
        <v>33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f t="shared" si="12"/>
        <v>0</v>
      </c>
    </row>
    <row r="811" spans="1:34" x14ac:dyDescent="0.25">
      <c r="A811" s="1">
        <v>44692</v>
      </c>
      <c r="B811">
        <v>521</v>
      </c>
      <c r="C811">
        <v>5.7915060000000001E-3</v>
      </c>
      <c r="D811">
        <v>829</v>
      </c>
      <c r="E811">
        <v>1.097561E-2</v>
      </c>
      <c r="F811">
        <v>-5.1841040000000001E-3</v>
      </c>
      <c r="G811">
        <v>5.1841040000000001E-3</v>
      </c>
      <c r="H811">
        <v>1.6231248E-2</v>
      </c>
      <c r="I811">
        <v>1.6638610000000002E-2</v>
      </c>
      <c r="J811">
        <v>0</v>
      </c>
      <c r="K811">
        <v>0</v>
      </c>
      <c r="L811">
        <v>0</v>
      </c>
      <c r="M811">
        <v>5</v>
      </c>
      <c r="N811">
        <v>3.015462759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W811">
        <v>0</v>
      </c>
      <c r="X811">
        <v>0</v>
      </c>
      <c r="Y811">
        <v>0</v>
      </c>
      <c r="Z811">
        <v>1.6638610000000002E-2</v>
      </c>
      <c r="AA811">
        <v>0</v>
      </c>
      <c r="AB811" t="s">
        <v>33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f t="shared" si="12"/>
        <v>0</v>
      </c>
    </row>
    <row r="812" spans="1:34" x14ac:dyDescent="0.25">
      <c r="A812" s="1">
        <v>44693</v>
      </c>
      <c r="B812">
        <v>505</v>
      </c>
      <c r="C812">
        <v>-3.0710173E-2</v>
      </c>
      <c r="D812">
        <v>820</v>
      </c>
      <c r="E812">
        <v>-1.0856454E-2</v>
      </c>
      <c r="F812">
        <v>-1.9853718999999999E-2</v>
      </c>
      <c r="G812">
        <v>1.9853718999999999E-2</v>
      </c>
      <c r="H812">
        <v>1.5126982000000001E-2</v>
      </c>
      <c r="I812">
        <v>1.4941671E-2</v>
      </c>
      <c r="J812">
        <v>0</v>
      </c>
      <c r="K812">
        <v>1</v>
      </c>
      <c r="L812">
        <v>1</v>
      </c>
      <c r="M812">
        <v>5</v>
      </c>
      <c r="N812">
        <v>0.57402154599999999</v>
      </c>
      <c r="O812">
        <v>3</v>
      </c>
      <c r="P812">
        <v>-5</v>
      </c>
      <c r="Q812">
        <v>8</v>
      </c>
      <c r="R812">
        <v>-1515</v>
      </c>
      <c r="S812">
        <v>4100</v>
      </c>
      <c r="T812">
        <v>0</v>
      </c>
      <c r="U812">
        <v>0</v>
      </c>
      <c r="V812" t="s">
        <v>34</v>
      </c>
      <c r="W812">
        <v>-1515</v>
      </c>
      <c r="X812">
        <v>4100</v>
      </c>
      <c r="Y812">
        <v>0</v>
      </c>
      <c r="Z812">
        <v>1.5126982000000001E-2</v>
      </c>
      <c r="AA812">
        <v>5615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5615</v>
      </c>
      <c r="AH812">
        <f t="shared" si="12"/>
        <v>0</v>
      </c>
    </row>
    <row r="813" spans="1:34" x14ac:dyDescent="0.25">
      <c r="A813" s="1">
        <v>44694</v>
      </c>
      <c r="B813">
        <v>511</v>
      </c>
      <c r="C813">
        <v>1.1881188000000001E-2</v>
      </c>
      <c r="D813">
        <v>843</v>
      </c>
      <c r="E813">
        <v>2.8048779999999999E-2</v>
      </c>
      <c r="F813">
        <v>-1.6167592000000001E-2</v>
      </c>
      <c r="G813">
        <v>1.6167592000000001E-2</v>
      </c>
      <c r="H813">
        <v>1.7006837E-2</v>
      </c>
      <c r="I813">
        <v>2.0653788999999999E-2</v>
      </c>
      <c r="J813">
        <v>0</v>
      </c>
      <c r="K813">
        <v>1</v>
      </c>
      <c r="L813">
        <v>0</v>
      </c>
      <c r="M813">
        <v>5</v>
      </c>
      <c r="N813">
        <v>3.8945814040000002</v>
      </c>
      <c r="O813">
        <v>-3</v>
      </c>
      <c r="P813">
        <v>5</v>
      </c>
      <c r="Q813">
        <v>8</v>
      </c>
      <c r="R813">
        <v>1533</v>
      </c>
      <c r="S813">
        <v>-4215</v>
      </c>
      <c r="T813">
        <v>18</v>
      </c>
      <c r="U813">
        <v>-115</v>
      </c>
      <c r="V813" t="s">
        <v>37</v>
      </c>
      <c r="W813">
        <v>0</v>
      </c>
      <c r="X813">
        <v>0</v>
      </c>
      <c r="Y813">
        <v>0</v>
      </c>
      <c r="Z813">
        <v>2.0653788999999999E-2</v>
      </c>
      <c r="AA813">
        <v>5748</v>
      </c>
      <c r="AB813">
        <v>0</v>
      </c>
      <c r="AC813">
        <v>-97</v>
      </c>
      <c r="AD813">
        <v>-1.6875435000000001E-2</v>
      </c>
      <c r="AE813">
        <v>0</v>
      </c>
      <c r="AF813">
        <v>0</v>
      </c>
      <c r="AG813">
        <v>0</v>
      </c>
      <c r="AH813">
        <f t="shared" si="12"/>
        <v>0</v>
      </c>
    </row>
    <row r="814" spans="1:34" x14ac:dyDescent="0.25">
      <c r="A814" s="1">
        <v>44697</v>
      </c>
      <c r="B814">
        <v>520</v>
      </c>
      <c r="C814">
        <v>1.7612524000000001E-2</v>
      </c>
      <c r="D814">
        <v>825</v>
      </c>
      <c r="E814">
        <v>-2.1352313000000001E-2</v>
      </c>
      <c r="F814">
        <v>3.8964838000000002E-2</v>
      </c>
      <c r="G814">
        <v>3.8964838000000002E-2</v>
      </c>
      <c r="H814">
        <v>1.8991488000000001E-2</v>
      </c>
      <c r="I814">
        <v>1.9413429999999999E-2</v>
      </c>
      <c r="J814">
        <v>1</v>
      </c>
      <c r="K814">
        <v>0</v>
      </c>
      <c r="L814">
        <v>-1</v>
      </c>
      <c r="M814">
        <v>5</v>
      </c>
      <c r="N814">
        <v>1.923419108</v>
      </c>
      <c r="O814">
        <v>-3</v>
      </c>
      <c r="P814">
        <v>5</v>
      </c>
      <c r="Q814">
        <v>8</v>
      </c>
      <c r="R814">
        <v>1560</v>
      </c>
      <c r="S814">
        <v>-4125</v>
      </c>
      <c r="T814">
        <v>45</v>
      </c>
      <c r="U814">
        <v>-25</v>
      </c>
      <c r="V814" t="s">
        <v>35</v>
      </c>
      <c r="W814">
        <v>1560</v>
      </c>
      <c r="X814">
        <v>-4125</v>
      </c>
      <c r="Y814">
        <v>20</v>
      </c>
      <c r="Z814">
        <v>1.9413429999999999E-2</v>
      </c>
      <c r="AA814">
        <v>5685</v>
      </c>
      <c r="AB814">
        <v>0</v>
      </c>
      <c r="AC814">
        <v>20</v>
      </c>
      <c r="AD814">
        <v>3.5180300000000001E-3</v>
      </c>
      <c r="AE814">
        <v>0</v>
      </c>
      <c r="AF814">
        <v>20</v>
      </c>
      <c r="AG814">
        <v>0</v>
      </c>
      <c r="AH814">
        <f t="shared" si="12"/>
        <v>3.5180299032541778E-3</v>
      </c>
    </row>
    <row r="815" spans="1:34" x14ac:dyDescent="0.25">
      <c r="A815" s="1">
        <v>44698</v>
      </c>
      <c r="B815">
        <v>530</v>
      </c>
      <c r="C815">
        <v>1.9230769000000002E-2</v>
      </c>
      <c r="D815">
        <v>841</v>
      </c>
      <c r="E815">
        <v>1.9393938999999999E-2</v>
      </c>
      <c r="F815">
        <v>-1.6317E-4</v>
      </c>
      <c r="G815">
        <v>1.6317E-4</v>
      </c>
      <c r="H815">
        <v>2.0521324000000001E-2</v>
      </c>
      <c r="I815">
        <v>2.0734744999999999E-2</v>
      </c>
      <c r="J815">
        <v>0</v>
      </c>
      <c r="K815">
        <v>0</v>
      </c>
      <c r="L815">
        <v>0</v>
      </c>
      <c r="M815">
        <v>5</v>
      </c>
      <c r="N815">
        <v>1.600256146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W815">
        <v>0</v>
      </c>
      <c r="X815">
        <v>0</v>
      </c>
      <c r="Y815">
        <v>0</v>
      </c>
      <c r="Z815">
        <v>2.0734744999999999E-2</v>
      </c>
      <c r="AA815">
        <v>0</v>
      </c>
      <c r="AB815" t="s">
        <v>33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f t="shared" si="12"/>
        <v>0</v>
      </c>
    </row>
    <row r="816" spans="1:34" x14ac:dyDescent="0.25">
      <c r="A816" s="1">
        <v>44699</v>
      </c>
      <c r="B816">
        <v>538</v>
      </c>
      <c r="C816">
        <v>1.5094339999999999E-2</v>
      </c>
      <c r="D816">
        <v>855</v>
      </c>
      <c r="E816">
        <v>1.6646848999999998E-2</v>
      </c>
      <c r="F816">
        <v>-1.5525090000000001E-3</v>
      </c>
      <c r="G816">
        <v>1.5525090000000001E-3</v>
      </c>
      <c r="H816">
        <v>2.1052930000000001E-2</v>
      </c>
      <c r="I816">
        <v>2.1274886999999999E-2</v>
      </c>
      <c r="J816">
        <v>0</v>
      </c>
      <c r="K816">
        <v>0</v>
      </c>
      <c r="L816">
        <v>0</v>
      </c>
      <c r="M816">
        <v>5</v>
      </c>
      <c r="N816">
        <v>1.752676492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W816">
        <v>0</v>
      </c>
      <c r="X816">
        <v>0</v>
      </c>
      <c r="Y816">
        <v>0</v>
      </c>
      <c r="Z816">
        <v>2.1274886999999999E-2</v>
      </c>
      <c r="AA816">
        <v>0</v>
      </c>
      <c r="AB816" t="s">
        <v>33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f t="shared" si="12"/>
        <v>0</v>
      </c>
    </row>
    <row r="817" spans="1:34" x14ac:dyDescent="0.25">
      <c r="A817" s="1">
        <v>44700</v>
      </c>
      <c r="B817">
        <v>522</v>
      </c>
      <c r="C817">
        <v>-2.9739776999999998E-2</v>
      </c>
      <c r="D817">
        <v>845</v>
      </c>
      <c r="E817">
        <v>-1.1695906000000001E-2</v>
      </c>
      <c r="F817">
        <v>-1.8043871E-2</v>
      </c>
      <c r="G817">
        <v>1.8043871E-2</v>
      </c>
      <c r="H817">
        <v>2.0622822999999998E-2</v>
      </c>
      <c r="I817">
        <v>2.1447488000000001E-2</v>
      </c>
      <c r="J817">
        <v>0</v>
      </c>
      <c r="K817">
        <v>0</v>
      </c>
      <c r="L817">
        <v>0</v>
      </c>
      <c r="M817">
        <v>5</v>
      </c>
      <c r="N817">
        <v>0.63662308700000003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W817">
        <v>0</v>
      </c>
      <c r="X817">
        <v>0</v>
      </c>
      <c r="Y817">
        <v>0</v>
      </c>
      <c r="Z817">
        <v>2.1447488000000001E-2</v>
      </c>
      <c r="AA817">
        <v>0</v>
      </c>
      <c r="AB817" t="s">
        <v>33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f t="shared" si="12"/>
        <v>0</v>
      </c>
    </row>
    <row r="818" spans="1:34" x14ac:dyDescent="0.25">
      <c r="A818" s="1">
        <v>44701</v>
      </c>
      <c r="B818">
        <v>530</v>
      </c>
      <c r="C818">
        <v>1.532567E-2</v>
      </c>
      <c r="D818">
        <v>846</v>
      </c>
      <c r="E818">
        <v>1.1834320000000001E-3</v>
      </c>
      <c r="F818">
        <v>1.4142238999999999E-2</v>
      </c>
      <c r="G818">
        <v>1.4142238999999999E-2</v>
      </c>
      <c r="H818">
        <v>2.089013E-2</v>
      </c>
      <c r="I818">
        <v>1.7634275000000001E-2</v>
      </c>
      <c r="J818">
        <v>1</v>
      </c>
      <c r="K818">
        <v>0</v>
      </c>
      <c r="L818">
        <v>0</v>
      </c>
      <c r="M818">
        <v>5</v>
      </c>
      <c r="N818">
        <v>0.123258904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W818">
        <v>0</v>
      </c>
      <c r="X818">
        <v>0</v>
      </c>
      <c r="Y818">
        <v>0</v>
      </c>
      <c r="Z818">
        <v>2.089013E-2</v>
      </c>
      <c r="AA818">
        <v>0</v>
      </c>
      <c r="AB818" t="s">
        <v>33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f t="shared" si="12"/>
        <v>0</v>
      </c>
    </row>
    <row r="819" spans="1:34" x14ac:dyDescent="0.25">
      <c r="A819" s="1">
        <v>44704</v>
      </c>
      <c r="B819">
        <v>528</v>
      </c>
      <c r="C819">
        <v>-3.7735849999999999E-3</v>
      </c>
      <c r="D819">
        <v>843</v>
      </c>
      <c r="E819">
        <v>-3.546099E-3</v>
      </c>
      <c r="F819">
        <v>-2.27486E-4</v>
      </c>
      <c r="G819">
        <v>2.27486E-4</v>
      </c>
      <c r="H819">
        <v>2.0488709000000001E-2</v>
      </c>
      <c r="I819">
        <v>1.32982E-2</v>
      </c>
      <c r="J819">
        <v>0</v>
      </c>
      <c r="K819">
        <v>0</v>
      </c>
      <c r="L819">
        <v>0</v>
      </c>
      <c r="M819">
        <v>5</v>
      </c>
      <c r="N819">
        <v>1.5003425210000001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W819">
        <v>0</v>
      </c>
      <c r="X819">
        <v>0</v>
      </c>
      <c r="Y819">
        <v>0</v>
      </c>
      <c r="Z819">
        <v>2.0488709000000001E-2</v>
      </c>
      <c r="AA819">
        <v>0</v>
      </c>
      <c r="AB819" t="s">
        <v>33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f t="shared" si="12"/>
        <v>0</v>
      </c>
    </row>
    <row r="820" spans="1:34" x14ac:dyDescent="0.25">
      <c r="A820" s="1">
        <v>44705</v>
      </c>
      <c r="B820">
        <v>520</v>
      </c>
      <c r="C820">
        <v>-1.5151515000000001E-2</v>
      </c>
      <c r="D820">
        <v>830</v>
      </c>
      <c r="E820">
        <v>-1.5421115000000001E-2</v>
      </c>
      <c r="F820">
        <v>2.6959999999999999E-4</v>
      </c>
      <c r="G820">
        <v>2.6959999999999999E-4</v>
      </c>
      <c r="H820">
        <v>1.9521800999999998E-2</v>
      </c>
      <c r="I820">
        <v>1.2577375999999999E-2</v>
      </c>
      <c r="J820">
        <v>1</v>
      </c>
      <c r="K820">
        <v>0</v>
      </c>
      <c r="L820">
        <v>0</v>
      </c>
      <c r="M820">
        <v>5</v>
      </c>
      <c r="N820">
        <v>1.6245551600000001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W820">
        <v>0</v>
      </c>
      <c r="X820">
        <v>0</v>
      </c>
      <c r="Y820">
        <v>0</v>
      </c>
      <c r="Z820">
        <v>1.9521800999999998E-2</v>
      </c>
      <c r="AA820">
        <v>0</v>
      </c>
      <c r="AB820" t="s">
        <v>33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f t="shared" si="12"/>
        <v>0</v>
      </c>
    </row>
    <row r="821" spans="1:34" x14ac:dyDescent="0.25">
      <c r="A821" s="1">
        <v>44706</v>
      </c>
      <c r="B821">
        <v>524</v>
      </c>
      <c r="C821">
        <v>7.6923080000000001E-3</v>
      </c>
      <c r="D821">
        <v>843</v>
      </c>
      <c r="E821">
        <v>1.5662651E-2</v>
      </c>
      <c r="F821">
        <v>-7.9703429999999995E-3</v>
      </c>
      <c r="G821">
        <v>7.9703429999999995E-3</v>
      </c>
      <c r="H821">
        <v>1.7963559E-2</v>
      </c>
      <c r="I821">
        <v>1.2203656E-2</v>
      </c>
      <c r="J821">
        <v>0</v>
      </c>
      <c r="K821">
        <v>0</v>
      </c>
      <c r="L821">
        <v>0</v>
      </c>
      <c r="M821">
        <v>5</v>
      </c>
      <c r="N821">
        <v>3.275705877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W821">
        <v>0</v>
      </c>
      <c r="X821">
        <v>0</v>
      </c>
      <c r="Y821">
        <v>0</v>
      </c>
      <c r="Z821">
        <v>1.7963559E-2</v>
      </c>
      <c r="AA821">
        <v>0</v>
      </c>
      <c r="AB821" t="s">
        <v>33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f t="shared" si="12"/>
        <v>0</v>
      </c>
    </row>
    <row r="822" spans="1:34" x14ac:dyDescent="0.25">
      <c r="A822" s="1">
        <v>44707</v>
      </c>
      <c r="B822">
        <v>514</v>
      </c>
      <c r="C822">
        <v>-1.9083968999999999E-2</v>
      </c>
      <c r="D822">
        <v>833</v>
      </c>
      <c r="E822">
        <v>-1.1862396000000001E-2</v>
      </c>
      <c r="F822">
        <v>-7.2215730000000002E-3</v>
      </c>
      <c r="G822">
        <v>7.2215730000000002E-3</v>
      </c>
      <c r="H822">
        <v>1.4638198999999999E-2</v>
      </c>
      <c r="I822">
        <v>1.223431E-2</v>
      </c>
      <c r="J822">
        <v>0</v>
      </c>
      <c r="K822">
        <v>0</v>
      </c>
      <c r="L822">
        <v>0</v>
      </c>
      <c r="M822">
        <v>5</v>
      </c>
      <c r="N822">
        <v>1.007362071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W822">
        <v>0</v>
      </c>
      <c r="X822">
        <v>0</v>
      </c>
      <c r="Y822">
        <v>0</v>
      </c>
      <c r="Z822">
        <v>1.4638198999999999E-2</v>
      </c>
      <c r="AA822">
        <v>0</v>
      </c>
      <c r="AB822" t="s">
        <v>33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f t="shared" si="12"/>
        <v>0</v>
      </c>
    </row>
    <row r="823" spans="1:34" x14ac:dyDescent="0.25">
      <c r="A823" s="1">
        <v>44708</v>
      </c>
      <c r="B823">
        <v>530</v>
      </c>
      <c r="C823">
        <v>3.1128405000000001E-2</v>
      </c>
      <c r="D823">
        <v>851</v>
      </c>
      <c r="E823">
        <v>2.1608643E-2</v>
      </c>
      <c r="F823">
        <v>9.5197609999999998E-3</v>
      </c>
      <c r="G823">
        <v>9.5197609999999998E-3</v>
      </c>
      <c r="H823">
        <v>2.0223894999999999E-2</v>
      </c>
      <c r="I823">
        <v>1.6545807999999999E-2</v>
      </c>
      <c r="J823">
        <v>1</v>
      </c>
      <c r="K823">
        <v>0</v>
      </c>
      <c r="L823">
        <v>0</v>
      </c>
      <c r="M823">
        <v>5</v>
      </c>
      <c r="N823">
        <v>1.114613581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W823">
        <v>0</v>
      </c>
      <c r="X823">
        <v>0</v>
      </c>
      <c r="Y823">
        <v>0</v>
      </c>
      <c r="Z823">
        <v>2.0223894999999999E-2</v>
      </c>
      <c r="AA823">
        <v>0</v>
      </c>
      <c r="AB823" t="s">
        <v>33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f t="shared" si="12"/>
        <v>0</v>
      </c>
    </row>
    <row r="824" spans="1:34" x14ac:dyDescent="0.25">
      <c r="A824" s="1">
        <v>44711</v>
      </c>
      <c r="B824">
        <v>547</v>
      </c>
      <c r="C824">
        <v>3.2075472000000001E-2</v>
      </c>
      <c r="D824">
        <v>878</v>
      </c>
      <c r="E824">
        <v>3.1727379999999999E-2</v>
      </c>
      <c r="F824">
        <v>3.4809199999999999E-4</v>
      </c>
      <c r="G824">
        <v>3.4809199999999999E-4</v>
      </c>
      <c r="H824">
        <v>2.4402612000000001E-2</v>
      </c>
      <c r="I824">
        <v>2.0912765E-2</v>
      </c>
      <c r="J824">
        <v>1</v>
      </c>
      <c r="K824">
        <v>0</v>
      </c>
      <c r="L824">
        <v>0</v>
      </c>
      <c r="M824">
        <v>5</v>
      </c>
      <c r="N824">
        <v>1.5876996240000001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W824">
        <v>0</v>
      </c>
      <c r="X824">
        <v>0</v>
      </c>
      <c r="Y824">
        <v>0</v>
      </c>
      <c r="Z824">
        <v>2.4402612000000001E-2</v>
      </c>
      <c r="AA824">
        <v>0</v>
      </c>
      <c r="AB824" t="s">
        <v>33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f t="shared" si="12"/>
        <v>0</v>
      </c>
    </row>
    <row r="825" spans="1:34" x14ac:dyDescent="0.25">
      <c r="A825" s="1">
        <v>44712</v>
      </c>
      <c r="B825">
        <v>560</v>
      </c>
      <c r="C825">
        <v>2.3765996000000001E-2</v>
      </c>
      <c r="D825">
        <v>905</v>
      </c>
      <c r="E825">
        <v>3.0751707999999999E-2</v>
      </c>
      <c r="F825">
        <v>-6.9857119999999998E-3</v>
      </c>
      <c r="G825">
        <v>6.9857119999999998E-3</v>
      </c>
      <c r="H825">
        <v>2.1468536999999999E-2</v>
      </c>
      <c r="I825">
        <v>1.7751078E-2</v>
      </c>
      <c r="J825">
        <v>0</v>
      </c>
      <c r="K825">
        <v>0</v>
      </c>
      <c r="L825">
        <v>0</v>
      </c>
      <c r="M825">
        <v>5</v>
      </c>
      <c r="N825">
        <v>2.091095052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W825">
        <v>0</v>
      </c>
      <c r="X825">
        <v>0</v>
      </c>
      <c r="Y825">
        <v>0</v>
      </c>
      <c r="Z825">
        <v>2.1468536999999999E-2</v>
      </c>
      <c r="AA825">
        <v>0</v>
      </c>
      <c r="AB825" t="s">
        <v>33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f t="shared" si="12"/>
        <v>0</v>
      </c>
    </row>
    <row r="826" spans="1:34" x14ac:dyDescent="0.25">
      <c r="A826" s="1">
        <v>44713</v>
      </c>
      <c r="B826">
        <v>549</v>
      </c>
      <c r="C826">
        <v>-1.9642857E-2</v>
      </c>
      <c r="D826">
        <v>905</v>
      </c>
      <c r="E826">
        <v>0</v>
      </c>
      <c r="F826">
        <v>-1.9642857E-2</v>
      </c>
      <c r="G826">
        <v>1.9642857E-2</v>
      </c>
      <c r="H826">
        <v>2.6679568000000001E-2</v>
      </c>
      <c r="I826">
        <v>1.9472059E-2</v>
      </c>
      <c r="J826">
        <v>0</v>
      </c>
      <c r="K826">
        <v>0</v>
      </c>
      <c r="L826">
        <v>0</v>
      </c>
      <c r="M826">
        <v>5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W826">
        <v>0</v>
      </c>
      <c r="X826">
        <v>0</v>
      </c>
      <c r="Y826">
        <v>0</v>
      </c>
      <c r="Z826">
        <v>2.6679568000000001E-2</v>
      </c>
      <c r="AA826">
        <v>0</v>
      </c>
      <c r="AB826" t="s">
        <v>33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f t="shared" si="12"/>
        <v>0</v>
      </c>
    </row>
    <row r="827" spans="1:34" x14ac:dyDescent="0.25">
      <c r="A827" s="1">
        <v>44714</v>
      </c>
      <c r="B827">
        <v>540</v>
      </c>
      <c r="C827">
        <v>-1.6393443000000001E-2</v>
      </c>
      <c r="D827">
        <v>898</v>
      </c>
      <c r="E827">
        <v>-7.7348069999999998E-3</v>
      </c>
      <c r="F827">
        <v>-8.6586360000000008E-3</v>
      </c>
      <c r="G827">
        <v>8.6586360000000008E-3</v>
      </c>
      <c r="H827">
        <v>2.5972953E-2</v>
      </c>
      <c r="I827">
        <v>1.8118367999999999E-2</v>
      </c>
      <c r="J827">
        <v>0</v>
      </c>
      <c r="K827">
        <v>0</v>
      </c>
      <c r="L827">
        <v>0</v>
      </c>
      <c r="M827">
        <v>5</v>
      </c>
      <c r="N827">
        <v>0.784624514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W827">
        <v>0</v>
      </c>
      <c r="X827">
        <v>0</v>
      </c>
      <c r="Y827">
        <v>0</v>
      </c>
      <c r="Z827">
        <v>2.5972953E-2</v>
      </c>
      <c r="AA827">
        <v>0</v>
      </c>
      <c r="AB827" t="s">
        <v>33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f t="shared" si="12"/>
        <v>0</v>
      </c>
    </row>
    <row r="828" spans="1:34" x14ac:dyDescent="0.25">
      <c r="A828" s="1">
        <v>44718</v>
      </c>
      <c r="B828">
        <v>540</v>
      </c>
      <c r="C828">
        <v>0</v>
      </c>
      <c r="D828">
        <v>905</v>
      </c>
      <c r="E828">
        <v>7.7951000000000001E-3</v>
      </c>
      <c r="F828">
        <v>-7.7951000000000001E-3</v>
      </c>
      <c r="G828">
        <v>7.7951000000000001E-3</v>
      </c>
      <c r="H828">
        <v>2.3290536000000001E-2</v>
      </c>
      <c r="I828">
        <v>1.7962809999999999E-2</v>
      </c>
      <c r="J828">
        <v>0</v>
      </c>
      <c r="K828">
        <v>0</v>
      </c>
      <c r="L828">
        <v>0</v>
      </c>
      <c r="M828">
        <v>5</v>
      </c>
      <c r="N828" t="s">
        <v>36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W828">
        <v>0</v>
      </c>
      <c r="X828">
        <v>0</v>
      </c>
      <c r="Y828">
        <v>0</v>
      </c>
      <c r="Z828">
        <v>2.3290536000000001E-2</v>
      </c>
      <c r="AA828">
        <v>0</v>
      </c>
      <c r="AB828" t="s">
        <v>33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f t="shared" si="12"/>
        <v>0</v>
      </c>
    </row>
    <row r="829" spans="1:34" x14ac:dyDescent="0.25">
      <c r="A829" s="1">
        <v>44719</v>
      </c>
      <c r="B829">
        <v>535</v>
      </c>
      <c r="C829">
        <v>-9.2592590000000006E-3</v>
      </c>
      <c r="D829">
        <v>890</v>
      </c>
      <c r="E829">
        <v>-1.6574585999999999E-2</v>
      </c>
      <c r="F829">
        <v>7.3153259999999996E-3</v>
      </c>
      <c r="G829">
        <v>7.3153259999999996E-3</v>
      </c>
      <c r="H829">
        <v>1.7410045999999998E-2</v>
      </c>
      <c r="I829">
        <v>1.8030768999999999E-2</v>
      </c>
      <c r="J829">
        <v>1</v>
      </c>
      <c r="K829">
        <v>0</v>
      </c>
      <c r="L829">
        <v>0</v>
      </c>
      <c r="M829">
        <v>5</v>
      </c>
      <c r="N829">
        <v>2.9778489179999998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W829">
        <v>0</v>
      </c>
      <c r="X829">
        <v>0</v>
      </c>
      <c r="Y829">
        <v>0</v>
      </c>
      <c r="Z829">
        <v>1.8030768999999999E-2</v>
      </c>
      <c r="AA829">
        <v>0</v>
      </c>
      <c r="AB829" t="s">
        <v>33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f t="shared" si="12"/>
        <v>0</v>
      </c>
    </row>
    <row r="830" spans="1:34" x14ac:dyDescent="0.25">
      <c r="A830" s="1">
        <v>44720</v>
      </c>
      <c r="B830">
        <v>544</v>
      </c>
      <c r="C830">
        <v>1.6822429999999999E-2</v>
      </c>
      <c r="D830">
        <v>930</v>
      </c>
      <c r="E830">
        <v>4.4943820000000002E-2</v>
      </c>
      <c r="F830">
        <v>-2.812139E-2</v>
      </c>
      <c r="G830">
        <v>2.812139E-2</v>
      </c>
      <c r="H830">
        <v>1.4672858E-2</v>
      </c>
      <c r="I830">
        <v>2.3736086E-2</v>
      </c>
      <c r="J830">
        <v>0</v>
      </c>
      <c r="K830">
        <v>1</v>
      </c>
      <c r="L830">
        <v>1</v>
      </c>
      <c r="M830">
        <v>5</v>
      </c>
      <c r="N830">
        <v>4.5673606519999996</v>
      </c>
      <c r="O830">
        <v>23</v>
      </c>
      <c r="P830">
        <v>-5</v>
      </c>
      <c r="Q830">
        <v>28</v>
      </c>
      <c r="R830">
        <v>-12512</v>
      </c>
      <c r="S830">
        <v>4650</v>
      </c>
      <c r="T830">
        <v>0</v>
      </c>
      <c r="U830">
        <v>0</v>
      </c>
      <c r="V830" t="s">
        <v>34</v>
      </c>
      <c r="W830">
        <v>-12512</v>
      </c>
      <c r="X830">
        <v>4650</v>
      </c>
      <c r="Y830">
        <v>0</v>
      </c>
      <c r="Z830">
        <v>2.3736086E-2</v>
      </c>
      <c r="AA830">
        <v>17162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17162</v>
      </c>
      <c r="AH830">
        <f t="shared" si="12"/>
        <v>0</v>
      </c>
    </row>
    <row r="831" spans="1:34" x14ac:dyDescent="0.25">
      <c r="A831" s="1">
        <v>44721</v>
      </c>
      <c r="B831">
        <v>541</v>
      </c>
      <c r="C831">
        <v>-5.5147060000000003E-3</v>
      </c>
      <c r="D831">
        <v>924</v>
      </c>
      <c r="E831">
        <v>-6.4516130000000001E-3</v>
      </c>
      <c r="F831">
        <v>9.3690699999999995E-4</v>
      </c>
      <c r="G831">
        <v>9.3690699999999995E-4</v>
      </c>
      <c r="H831">
        <v>1.2517281E-2</v>
      </c>
      <c r="I831">
        <v>2.4291317E-2</v>
      </c>
      <c r="J831">
        <v>1</v>
      </c>
      <c r="K831">
        <v>0</v>
      </c>
      <c r="L831">
        <v>-1</v>
      </c>
      <c r="M831">
        <v>5</v>
      </c>
      <c r="N831">
        <v>1.9981157949999999</v>
      </c>
      <c r="O831">
        <v>-23</v>
      </c>
      <c r="P831">
        <v>5</v>
      </c>
      <c r="Q831">
        <v>28</v>
      </c>
      <c r="R831">
        <v>12443</v>
      </c>
      <c r="S831">
        <v>-4620</v>
      </c>
      <c r="T831">
        <v>-69</v>
      </c>
      <c r="U831">
        <v>30</v>
      </c>
      <c r="V831" t="s">
        <v>35</v>
      </c>
      <c r="W831">
        <v>12443</v>
      </c>
      <c r="X831">
        <v>-4620</v>
      </c>
      <c r="Y831">
        <v>-39</v>
      </c>
      <c r="Z831">
        <v>2.4291317E-2</v>
      </c>
      <c r="AA831">
        <v>17063</v>
      </c>
      <c r="AB831">
        <v>0</v>
      </c>
      <c r="AC831">
        <v>-39</v>
      </c>
      <c r="AD831">
        <v>-2.285647E-3</v>
      </c>
      <c r="AE831">
        <v>0</v>
      </c>
      <c r="AF831">
        <v>-39</v>
      </c>
      <c r="AG831">
        <v>0</v>
      </c>
      <c r="AH831">
        <f t="shared" si="12"/>
        <v>-2.2856473070386216E-3</v>
      </c>
    </row>
    <row r="832" spans="1:34" x14ac:dyDescent="0.25">
      <c r="A832" s="1">
        <v>44722</v>
      </c>
      <c r="B832">
        <v>530</v>
      </c>
      <c r="C832">
        <v>-2.0332717E-2</v>
      </c>
      <c r="D832">
        <v>930</v>
      </c>
      <c r="E832">
        <v>6.4935059999999996E-3</v>
      </c>
      <c r="F832">
        <v>-2.6826223999999999E-2</v>
      </c>
      <c r="G832">
        <v>2.6826223999999999E-2</v>
      </c>
      <c r="H832">
        <v>1.3653723E-2</v>
      </c>
      <c r="I832">
        <v>2.3329371000000002E-2</v>
      </c>
      <c r="J832">
        <v>0</v>
      </c>
      <c r="K832">
        <v>1</v>
      </c>
      <c r="L832">
        <v>1</v>
      </c>
      <c r="M832">
        <v>5</v>
      </c>
      <c r="N832">
        <v>0.56039072400000001</v>
      </c>
      <c r="O832">
        <v>3</v>
      </c>
      <c r="P832">
        <v>-5</v>
      </c>
      <c r="Q832">
        <v>8</v>
      </c>
      <c r="R832">
        <v>-1590</v>
      </c>
      <c r="S832">
        <v>4650</v>
      </c>
      <c r="T832">
        <v>0</v>
      </c>
      <c r="U832">
        <v>0</v>
      </c>
      <c r="V832" t="s">
        <v>34</v>
      </c>
      <c r="W832">
        <v>-1590</v>
      </c>
      <c r="X832">
        <v>4650</v>
      </c>
      <c r="Y832">
        <v>0</v>
      </c>
      <c r="Z832">
        <v>2.3329371000000002E-2</v>
      </c>
      <c r="AA832">
        <v>6240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6240</v>
      </c>
      <c r="AH832">
        <f t="shared" si="12"/>
        <v>0</v>
      </c>
    </row>
    <row r="833" spans="1:34" x14ac:dyDescent="0.25">
      <c r="A833" s="1">
        <v>44725</v>
      </c>
      <c r="B833">
        <v>516</v>
      </c>
      <c r="C833">
        <v>-2.6415094E-2</v>
      </c>
      <c r="D833">
        <v>887</v>
      </c>
      <c r="E833">
        <v>-4.6236559000000003E-2</v>
      </c>
      <c r="F833">
        <v>1.9821465E-2</v>
      </c>
      <c r="G833">
        <v>1.9821465E-2</v>
      </c>
      <c r="H833">
        <v>1.666366E-2</v>
      </c>
      <c r="I833">
        <v>3.3364363000000001E-2</v>
      </c>
      <c r="J833">
        <v>1</v>
      </c>
      <c r="K833">
        <v>0</v>
      </c>
      <c r="L833">
        <v>-1</v>
      </c>
      <c r="M833">
        <v>5</v>
      </c>
      <c r="N833">
        <v>3.008896569</v>
      </c>
      <c r="O833">
        <v>-3</v>
      </c>
      <c r="P833">
        <v>5</v>
      </c>
      <c r="Q833">
        <v>8</v>
      </c>
      <c r="R833">
        <v>1548</v>
      </c>
      <c r="S833">
        <v>-4435</v>
      </c>
      <c r="T833">
        <v>-42</v>
      </c>
      <c r="U833">
        <v>215</v>
      </c>
      <c r="V833" t="s">
        <v>35</v>
      </c>
      <c r="W833">
        <v>1548</v>
      </c>
      <c r="X833">
        <v>-4435</v>
      </c>
      <c r="Y833">
        <v>173</v>
      </c>
      <c r="Z833">
        <v>3.3364363000000001E-2</v>
      </c>
      <c r="AA833">
        <v>5983</v>
      </c>
      <c r="AB833">
        <v>0</v>
      </c>
      <c r="AC833">
        <v>173</v>
      </c>
      <c r="AD833">
        <v>2.8915260000000002E-2</v>
      </c>
      <c r="AE833">
        <v>0</v>
      </c>
      <c r="AF833">
        <v>173</v>
      </c>
      <c r="AG833">
        <v>0</v>
      </c>
      <c r="AH833">
        <f t="shared" si="12"/>
        <v>2.8915259903058665E-2</v>
      </c>
    </row>
    <row r="834" spans="1:34" x14ac:dyDescent="0.25">
      <c r="A834" s="1">
        <v>44726</v>
      </c>
      <c r="B834">
        <v>513</v>
      </c>
      <c r="C834">
        <v>-5.8139530000000002E-3</v>
      </c>
      <c r="D834">
        <v>880</v>
      </c>
      <c r="E834">
        <v>-7.8917699999999993E-3</v>
      </c>
      <c r="F834">
        <v>2.077817E-3</v>
      </c>
      <c r="G834">
        <v>2.077817E-3</v>
      </c>
      <c r="H834">
        <v>1.6718295000000001E-2</v>
      </c>
      <c r="I834">
        <v>3.2738043000000001E-2</v>
      </c>
      <c r="J834">
        <v>1</v>
      </c>
      <c r="K834">
        <v>0</v>
      </c>
      <c r="L834">
        <v>0</v>
      </c>
      <c r="M834">
        <v>5</v>
      </c>
      <c r="N834">
        <v>2.3284567429999998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W834">
        <v>0</v>
      </c>
      <c r="X834">
        <v>0</v>
      </c>
      <c r="Y834">
        <v>0</v>
      </c>
      <c r="Z834">
        <v>3.2738043000000001E-2</v>
      </c>
      <c r="AA834">
        <v>0</v>
      </c>
      <c r="AB834" t="s">
        <v>33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f t="shared" si="12"/>
        <v>0</v>
      </c>
    </row>
    <row r="835" spans="1:34" x14ac:dyDescent="0.25">
      <c r="A835" s="1">
        <v>44727</v>
      </c>
      <c r="B835">
        <v>509</v>
      </c>
      <c r="C835">
        <v>-7.7972709999999997E-3</v>
      </c>
      <c r="D835">
        <v>884</v>
      </c>
      <c r="E835">
        <v>4.5454550000000003E-3</v>
      </c>
      <c r="F835">
        <v>-1.2342726E-2</v>
      </c>
      <c r="G835">
        <v>1.2342726E-2</v>
      </c>
      <c r="H835">
        <v>9.5958080000000008E-3</v>
      </c>
      <c r="I835">
        <v>2.1293706999999999E-2</v>
      </c>
      <c r="J835">
        <v>0</v>
      </c>
      <c r="K835">
        <v>0</v>
      </c>
      <c r="L835">
        <v>0</v>
      </c>
      <c r="M835">
        <v>5</v>
      </c>
      <c r="N835">
        <v>1.012439721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W835">
        <v>0</v>
      </c>
      <c r="X835">
        <v>0</v>
      </c>
      <c r="Y835">
        <v>0</v>
      </c>
      <c r="Z835">
        <v>2.1293706999999999E-2</v>
      </c>
      <c r="AA835">
        <v>0</v>
      </c>
      <c r="AB835" t="s">
        <v>33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f t="shared" ref="AH835:AH898" si="13">IF(AF835&lt;&gt;0,AF835/AA835,0)</f>
        <v>0</v>
      </c>
    </row>
    <row r="836" spans="1:34" x14ac:dyDescent="0.25">
      <c r="A836" s="1">
        <v>44728</v>
      </c>
      <c r="B836">
        <v>508</v>
      </c>
      <c r="C836">
        <v>-1.964637E-3</v>
      </c>
      <c r="D836">
        <v>873</v>
      </c>
      <c r="E836">
        <v>-1.2443439000000001E-2</v>
      </c>
      <c r="F836">
        <v>1.0478802000000001E-2</v>
      </c>
      <c r="G836">
        <v>1.0478802000000001E-2</v>
      </c>
      <c r="H836">
        <v>1.0401776999999999E-2</v>
      </c>
      <c r="I836">
        <v>2.1219017999999999E-2</v>
      </c>
      <c r="J836">
        <v>1</v>
      </c>
      <c r="K836">
        <v>0</v>
      </c>
      <c r="L836">
        <v>0</v>
      </c>
      <c r="M836">
        <v>5</v>
      </c>
      <c r="N836">
        <v>10.884506269999999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W836">
        <v>0</v>
      </c>
      <c r="X836">
        <v>0</v>
      </c>
      <c r="Y836">
        <v>0</v>
      </c>
      <c r="Z836">
        <v>2.1219017999999999E-2</v>
      </c>
      <c r="AA836">
        <v>0</v>
      </c>
      <c r="AB836" t="s">
        <v>33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f t="shared" si="13"/>
        <v>0</v>
      </c>
    </row>
    <row r="837" spans="1:34" x14ac:dyDescent="0.25">
      <c r="A837" s="1">
        <v>44729</v>
      </c>
      <c r="B837">
        <v>501</v>
      </c>
      <c r="C837">
        <v>-1.3779527999999999E-2</v>
      </c>
      <c r="D837">
        <v>831</v>
      </c>
      <c r="E837">
        <v>-4.8109965999999997E-2</v>
      </c>
      <c r="F837">
        <v>3.4330437999999998E-2</v>
      </c>
      <c r="G837">
        <v>3.4330437999999998E-2</v>
      </c>
      <c r="H837">
        <v>9.5396869999999998E-3</v>
      </c>
      <c r="I837">
        <v>2.3791639999999999E-2</v>
      </c>
      <c r="J837">
        <v>1</v>
      </c>
      <c r="K837">
        <v>1</v>
      </c>
      <c r="L837">
        <v>1</v>
      </c>
      <c r="M837">
        <v>5</v>
      </c>
      <c r="N837">
        <v>5.7911393709999999</v>
      </c>
      <c r="O837">
        <v>-29</v>
      </c>
      <c r="P837">
        <v>5</v>
      </c>
      <c r="Q837">
        <v>34</v>
      </c>
      <c r="R837">
        <v>14529</v>
      </c>
      <c r="S837">
        <v>-4155</v>
      </c>
      <c r="T837">
        <v>0</v>
      </c>
      <c r="U837">
        <v>0</v>
      </c>
      <c r="V837" t="s">
        <v>34</v>
      </c>
      <c r="W837">
        <v>14529</v>
      </c>
      <c r="X837">
        <v>-4155</v>
      </c>
      <c r="Y837">
        <v>0</v>
      </c>
      <c r="Z837">
        <v>2.3791639999999999E-2</v>
      </c>
      <c r="AA837">
        <v>18684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18684</v>
      </c>
      <c r="AH837">
        <f t="shared" si="13"/>
        <v>0</v>
      </c>
    </row>
    <row r="838" spans="1:34" x14ac:dyDescent="0.25">
      <c r="A838" s="1">
        <v>44732</v>
      </c>
      <c r="B838">
        <v>498</v>
      </c>
      <c r="C838">
        <v>-5.9880239999999998E-3</v>
      </c>
      <c r="D838">
        <v>840</v>
      </c>
      <c r="E838">
        <v>1.0830325E-2</v>
      </c>
      <c r="F838">
        <v>-1.6818349E-2</v>
      </c>
      <c r="G838">
        <v>1.6818349E-2</v>
      </c>
      <c r="H838">
        <v>4.3116049999999996E-3</v>
      </c>
      <c r="I838">
        <v>2.2947618999999999E-2</v>
      </c>
      <c r="J838">
        <v>0</v>
      </c>
      <c r="K838">
        <v>0</v>
      </c>
      <c r="L838">
        <v>-1</v>
      </c>
      <c r="M838">
        <v>5</v>
      </c>
      <c r="N838">
        <v>3.0507589930000001</v>
      </c>
      <c r="O838">
        <v>29</v>
      </c>
      <c r="P838">
        <v>-5</v>
      </c>
      <c r="Q838">
        <v>34</v>
      </c>
      <c r="R838">
        <v>-14442</v>
      </c>
      <c r="S838">
        <v>4200</v>
      </c>
      <c r="T838">
        <v>87</v>
      </c>
      <c r="U838">
        <v>45</v>
      </c>
      <c r="V838" t="s">
        <v>35</v>
      </c>
      <c r="W838">
        <v>-14442</v>
      </c>
      <c r="X838">
        <v>4200</v>
      </c>
      <c r="Y838">
        <v>132</v>
      </c>
      <c r="Z838">
        <v>2.2947618999999999E-2</v>
      </c>
      <c r="AA838">
        <v>18642</v>
      </c>
      <c r="AB838">
        <v>0</v>
      </c>
      <c r="AC838">
        <v>132</v>
      </c>
      <c r="AD838">
        <v>7.080785E-3</v>
      </c>
      <c r="AE838">
        <v>0</v>
      </c>
      <c r="AF838">
        <v>132</v>
      </c>
      <c r="AG838">
        <v>0</v>
      </c>
      <c r="AH838">
        <f t="shared" si="13"/>
        <v>7.0807853234631478E-3</v>
      </c>
    </row>
    <row r="839" spans="1:34" x14ac:dyDescent="0.25">
      <c r="A839" s="1">
        <v>44733</v>
      </c>
      <c r="B839">
        <v>505</v>
      </c>
      <c r="C839">
        <v>1.4056225E-2</v>
      </c>
      <c r="D839">
        <v>868</v>
      </c>
      <c r="E839">
        <v>3.3333333E-2</v>
      </c>
      <c r="F839">
        <v>-1.9277108000000001E-2</v>
      </c>
      <c r="G839">
        <v>1.9277108000000001E-2</v>
      </c>
      <c r="H839">
        <v>1.0489069E-2</v>
      </c>
      <c r="I839">
        <v>3.0374407999999999E-2</v>
      </c>
      <c r="J839">
        <v>0</v>
      </c>
      <c r="K839">
        <v>0</v>
      </c>
      <c r="L839">
        <v>0</v>
      </c>
      <c r="M839">
        <v>5</v>
      </c>
      <c r="N839">
        <v>4.076039604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W839">
        <v>0</v>
      </c>
      <c r="X839">
        <v>0</v>
      </c>
      <c r="Y839">
        <v>0</v>
      </c>
      <c r="Z839">
        <v>3.0374407999999999E-2</v>
      </c>
      <c r="AA839">
        <v>0</v>
      </c>
      <c r="AB839" t="s">
        <v>33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f t="shared" si="13"/>
        <v>0</v>
      </c>
    </row>
    <row r="840" spans="1:34" x14ac:dyDescent="0.25">
      <c r="A840" s="1">
        <v>44734</v>
      </c>
      <c r="B840">
        <v>494.5</v>
      </c>
      <c r="C840">
        <v>-2.0792079000000002E-2</v>
      </c>
      <c r="D840">
        <v>807</v>
      </c>
      <c r="E840">
        <v>-7.0276498000000007E-2</v>
      </c>
      <c r="F840">
        <v>4.9484418000000002E-2</v>
      </c>
      <c r="G840">
        <v>4.9484418000000002E-2</v>
      </c>
      <c r="H840">
        <v>1.3204107E-2</v>
      </c>
      <c r="I840">
        <v>4.223267E-2</v>
      </c>
      <c r="J840">
        <v>1</v>
      </c>
      <c r="K840">
        <v>1</v>
      </c>
      <c r="L840">
        <v>1</v>
      </c>
      <c r="M840">
        <v>5</v>
      </c>
      <c r="N840">
        <v>5.5159386560000003</v>
      </c>
      <c r="O840">
        <v>-28</v>
      </c>
      <c r="P840">
        <v>5</v>
      </c>
      <c r="Q840">
        <v>33</v>
      </c>
      <c r="R840">
        <v>13846</v>
      </c>
      <c r="S840">
        <v>-4035</v>
      </c>
      <c r="T840">
        <v>0</v>
      </c>
      <c r="U840">
        <v>0</v>
      </c>
      <c r="V840" t="s">
        <v>34</v>
      </c>
      <c r="W840">
        <v>13846</v>
      </c>
      <c r="X840">
        <v>-4035</v>
      </c>
      <c r="Y840">
        <v>0</v>
      </c>
      <c r="Z840">
        <v>4.223267E-2</v>
      </c>
      <c r="AA840">
        <v>17881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17881</v>
      </c>
      <c r="AH840">
        <f t="shared" si="13"/>
        <v>0</v>
      </c>
    </row>
    <row r="841" spans="1:34" x14ac:dyDescent="0.25">
      <c r="A841" s="1">
        <v>44735</v>
      </c>
      <c r="B841">
        <v>485.5</v>
      </c>
      <c r="C841">
        <v>-1.8200201999999999E-2</v>
      </c>
      <c r="D841">
        <v>689</v>
      </c>
      <c r="E841">
        <v>-0.14622056999999999</v>
      </c>
      <c r="F841">
        <v>0.128020368</v>
      </c>
      <c r="G841">
        <v>0.128020368</v>
      </c>
      <c r="H841">
        <v>1.4028406E-2</v>
      </c>
      <c r="I841">
        <v>7.0963302000000006E-2</v>
      </c>
      <c r="J841">
        <v>1</v>
      </c>
      <c r="K841">
        <v>1</v>
      </c>
      <c r="L841">
        <v>0</v>
      </c>
      <c r="M841">
        <v>5</v>
      </c>
      <c r="N841">
        <v>11.401506700000001</v>
      </c>
      <c r="O841">
        <v>28</v>
      </c>
      <c r="P841">
        <v>-5</v>
      </c>
      <c r="Q841">
        <v>33</v>
      </c>
      <c r="R841">
        <v>-13594</v>
      </c>
      <c r="S841">
        <v>3445</v>
      </c>
      <c r="T841">
        <v>252</v>
      </c>
      <c r="U841">
        <v>-590</v>
      </c>
      <c r="V841" t="s">
        <v>37</v>
      </c>
      <c r="W841">
        <v>0</v>
      </c>
      <c r="X841">
        <v>0</v>
      </c>
      <c r="Y841">
        <v>0</v>
      </c>
      <c r="Z841">
        <v>7.0963302000000006E-2</v>
      </c>
      <c r="AA841">
        <v>17039</v>
      </c>
      <c r="AB841">
        <v>0</v>
      </c>
      <c r="AC841">
        <v>-338</v>
      </c>
      <c r="AD841">
        <v>-1.9836844999999999E-2</v>
      </c>
      <c r="AE841">
        <v>0</v>
      </c>
      <c r="AF841">
        <v>0</v>
      </c>
      <c r="AG841">
        <v>0</v>
      </c>
      <c r="AH841">
        <f t="shared" si="13"/>
        <v>0</v>
      </c>
    </row>
    <row r="842" spans="1:34" x14ac:dyDescent="0.25">
      <c r="A842" s="1">
        <v>44736</v>
      </c>
      <c r="B842">
        <v>486.5</v>
      </c>
      <c r="C842">
        <v>2.0597319999999999E-3</v>
      </c>
      <c r="D842">
        <v>670</v>
      </c>
      <c r="E842">
        <v>-2.7576197E-2</v>
      </c>
      <c r="F842">
        <v>2.9635930000000001E-2</v>
      </c>
      <c r="G842">
        <v>2.9635930000000001E-2</v>
      </c>
      <c r="H842">
        <v>1.4444758E-2</v>
      </c>
      <c r="I842">
        <v>7.1265918999999997E-2</v>
      </c>
      <c r="J842">
        <v>1</v>
      </c>
      <c r="K842">
        <v>1</v>
      </c>
      <c r="L842">
        <v>0</v>
      </c>
      <c r="M842">
        <v>5</v>
      </c>
      <c r="N842">
        <v>18.438074749999998</v>
      </c>
      <c r="O842">
        <v>28</v>
      </c>
      <c r="P842">
        <v>-5</v>
      </c>
      <c r="Q842">
        <v>33</v>
      </c>
      <c r="R842">
        <v>-13622</v>
      </c>
      <c r="S842">
        <v>3350</v>
      </c>
      <c r="T842">
        <v>224</v>
      </c>
      <c r="U842">
        <v>-685</v>
      </c>
      <c r="V842" t="s">
        <v>37</v>
      </c>
      <c r="W842">
        <v>0</v>
      </c>
      <c r="X842">
        <v>0</v>
      </c>
      <c r="Y842">
        <v>0</v>
      </c>
      <c r="Z842">
        <v>7.1265918999999997E-2</v>
      </c>
      <c r="AA842">
        <v>16972</v>
      </c>
      <c r="AB842">
        <v>0</v>
      </c>
      <c r="AC842">
        <v>-461</v>
      </c>
      <c r="AD842">
        <v>-2.7162385000000001E-2</v>
      </c>
      <c r="AE842">
        <v>0</v>
      </c>
      <c r="AF842">
        <v>0</v>
      </c>
      <c r="AG842">
        <v>0</v>
      </c>
      <c r="AH842">
        <f t="shared" si="13"/>
        <v>0</v>
      </c>
    </row>
    <row r="843" spans="1:34" x14ac:dyDescent="0.25">
      <c r="A843" s="1">
        <v>44739</v>
      </c>
      <c r="B843">
        <v>498.5</v>
      </c>
      <c r="C843">
        <v>2.4665981999999999E-2</v>
      </c>
      <c r="D843">
        <v>678</v>
      </c>
      <c r="E843">
        <v>1.1940299E-2</v>
      </c>
      <c r="F843">
        <v>1.2725683E-2</v>
      </c>
      <c r="G843">
        <v>1.2725683E-2</v>
      </c>
      <c r="H843">
        <v>1.9831465E-2</v>
      </c>
      <c r="I843">
        <v>7.1465219999999996E-2</v>
      </c>
      <c r="J843">
        <v>1</v>
      </c>
      <c r="K843">
        <v>1</v>
      </c>
      <c r="L843">
        <v>0</v>
      </c>
      <c r="M843">
        <v>5</v>
      </c>
      <c r="N843">
        <v>0.65838710199999995</v>
      </c>
      <c r="O843">
        <v>28</v>
      </c>
      <c r="P843">
        <v>-5</v>
      </c>
      <c r="Q843">
        <v>33</v>
      </c>
      <c r="R843">
        <v>-13958</v>
      </c>
      <c r="S843">
        <v>3390</v>
      </c>
      <c r="T843">
        <v>-112</v>
      </c>
      <c r="U843">
        <v>-645</v>
      </c>
      <c r="V843" t="s">
        <v>37</v>
      </c>
      <c r="W843">
        <v>0</v>
      </c>
      <c r="X843">
        <v>0</v>
      </c>
      <c r="Y843">
        <v>0</v>
      </c>
      <c r="Z843">
        <v>7.1465219999999996E-2</v>
      </c>
      <c r="AA843">
        <v>17348</v>
      </c>
      <c r="AB843">
        <v>0</v>
      </c>
      <c r="AC843">
        <v>-757</v>
      </c>
      <c r="AD843">
        <v>-4.3636154000000003E-2</v>
      </c>
      <c r="AE843">
        <v>0</v>
      </c>
      <c r="AF843">
        <v>0</v>
      </c>
      <c r="AG843">
        <v>0</v>
      </c>
      <c r="AH843">
        <f t="shared" si="13"/>
        <v>0</v>
      </c>
    </row>
    <row r="844" spans="1:34" x14ac:dyDescent="0.25">
      <c r="A844" s="1">
        <v>44740</v>
      </c>
      <c r="B844">
        <v>497.5</v>
      </c>
      <c r="C844">
        <v>-2.006018E-3</v>
      </c>
      <c r="D844">
        <v>651</v>
      </c>
      <c r="E844">
        <v>-3.9823008999999999E-2</v>
      </c>
      <c r="F844">
        <v>3.7816991000000001E-2</v>
      </c>
      <c r="G844">
        <v>3.7816991000000001E-2</v>
      </c>
      <c r="H844">
        <v>1.8299547999999999E-2</v>
      </c>
      <c r="I844">
        <v>5.9194848000000001E-2</v>
      </c>
      <c r="J844">
        <v>1</v>
      </c>
      <c r="K844">
        <v>1</v>
      </c>
      <c r="L844">
        <v>0</v>
      </c>
      <c r="M844">
        <v>5</v>
      </c>
      <c r="N844">
        <v>25.97688887</v>
      </c>
      <c r="O844">
        <v>28</v>
      </c>
      <c r="P844">
        <v>-5</v>
      </c>
      <c r="Q844">
        <v>33</v>
      </c>
      <c r="R844">
        <v>-13930</v>
      </c>
      <c r="S844">
        <v>3255</v>
      </c>
      <c r="T844">
        <v>-84</v>
      </c>
      <c r="U844">
        <v>-780</v>
      </c>
      <c r="V844" t="s">
        <v>37</v>
      </c>
      <c r="W844">
        <v>0</v>
      </c>
      <c r="X844">
        <v>0</v>
      </c>
      <c r="Y844">
        <v>0</v>
      </c>
      <c r="Z844">
        <v>5.9194848000000001E-2</v>
      </c>
      <c r="AA844">
        <v>17185</v>
      </c>
      <c r="AB844">
        <v>0</v>
      </c>
      <c r="AC844">
        <v>-864</v>
      </c>
      <c r="AD844">
        <v>-5.0276403999999997E-2</v>
      </c>
      <c r="AE844">
        <v>0</v>
      </c>
      <c r="AF844">
        <v>0</v>
      </c>
      <c r="AG844">
        <v>0</v>
      </c>
      <c r="AH844">
        <f t="shared" si="13"/>
        <v>0</v>
      </c>
    </row>
    <row r="845" spans="1:34" x14ac:dyDescent="0.25">
      <c r="A845" s="1">
        <v>44741</v>
      </c>
      <c r="B845">
        <v>491</v>
      </c>
      <c r="C845">
        <v>-1.3065327E-2</v>
      </c>
      <c r="D845">
        <v>661</v>
      </c>
      <c r="E845">
        <v>1.5360983E-2</v>
      </c>
      <c r="F845">
        <v>-2.842631E-2</v>
      </c>
      <c r="G845">
        <v>2.842631E-2</v>
      </c>
      <c r="H845">
        <v>1.6658764999999999E-2</v>
      </c>
      <c r="I845">
        <v>6.5502648999999996E-2</v>
      </c>
      <c r="J845">
        <v>0</v>
      </c>
      <c r="K845">
        <v>0</v>
      </c>
      <c r="L845">
        <v>-1</v>
      </c>
      <c r="M845">
        <v>5</v>
      </c>
      <c r="N845">
        <v>1.5827732699999999</v>
      </c>
      <c r="O845">
        <v>28</v>
      </c>
      <c r="P845">
        <v>-5</v>
      </c>
      <c r="Q845">
        <v>33</v>
      </c>
      <c r="R845">
        <v>-13748</v>
      </c>
      <c r="S845">
        <v>3305</v>
      </c>
      <c r="T845">
        <v>98</v>
      </c>
      <c r="U845">
        <v>-730</v>
      </c>
      <c r="V845" t="s">
        <v>35</v>
      </c>
      <c r="W845">
        <v>-13748</v>
      </c>
      <c r="X845">
        <v>3305</v>
      </c>
      <c r="Y845">
        <v>-632</v>
      </c>
      <c r="Z845">
        <v>6.5502648999999996E-2</v>
      </c>
      <c r="AA845">
        <v>17053</v>
      </c>
      <c r="AB845">
        <v>0</v>
      </c>
      <c r="AC845">
        <v>-632</v>
      </c>
      <c r="AD845">
        <v>-3.7060928E-2</v>
      </c>
      <c r="AE845">
        <v>0</v>
      </c>
      <c r="AF845">
        <v>-632</v>
      </c>
      <c r="AG845">
        <v>0</v>
      </c>
      <c r="AH845">
        <f t="shared" si="13"/>
        <v>-3.7060927696006565E-2</v>
      </c>
    </row>
    <row r="846" spans="1:34" x14ac:dyDescent="0.25">
      <c r="A846" s="1">
        <v>44742</v>
      </c>
      <c r="B846">
        <v>476</v>
      </c>
      <c r="C846">
        <v>-3.0549897999999999E-2</v>
      </c>
      <c r="D846">
        <v>651</v>
      </c>
      <c r="E846">
        <v>-1.5128592999999999E-2</v>
      </c>
      <c r="F846">
        <v>-1.5421305E-2</v>
      </c>
      <c r="G846">
        <v>1.5421305E-2</v>
      </c>
      <c r="H846">
        <v>2.0305591000000001E-2</v>
      </c>
      <c r="I846">
        <v>2.4206042000000001E-2</v>
      </c>
      <c r="J846">
        <v>0</v>
      </c>
      <c r="K846">
        <v>0</v>
      </c>
      <c r="L846">
        <v>0</v>
      </c>
      <c r="M846">
        <v>5</v>
      </c>
      <c r="N846">
        <v>0.67727151399999996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W846">
        <v>0</v>
      </c>
      <c r="X846">
        <v>0</v>
      </c>
      <c r="Y846">
        <v>0</v>
      </c>
      <c r="Z846">
        <v>2.4206042000000001E-2</v>
      </c>
      <c r="AA846">
        <v>0</v>
      </c>
      <c r="AB846" t="s">
        <v>33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f t="shared" si="13"/>
        <v>0</v>
      </c>
    </row>
    <row r="847" spans="1:34" x14ac:dyDescent="0.25">
      <c r="A847" s="1">
        <v>44743</v>
      </c>
      <c r="B847">
        <v>453.5</v>
      </c>
      <c r="C847">
        <v>-4.7268907999999998E-2</v>
      </c>
      <c r="D847">
        <v>612</v>
      </c>
      <c r="E847">
        <v>-5.9907834E-2</v>
      </c>
      <c r="F847">
        <v>1.2638926999999999E-2</v>
      </c>
      <c r="G847">
        <v>1.2638926999999999E-2</v>
      </c>
      <c r="H847">
        <v>2.7476699E-2</v>
      </c>
      <c r="I847">
        <v>3.2591944999999997E-2</v>
      </c>
      <c r="J847">
        <v>1</v>
      </c>
      <c r="K847">
        <v>0</v>
      </c>
      <c r="L847">
        <v>0</v>
      </c>
      <c r="M847">
        <v>5</v>
      </c>
      <c r="N847">
        <v>1.7103389410000001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W847">
        <v>0</v>
      </c>
      <c r="X847">
        <v>0</v>
      </c>
      <c r="Y847">
        <v>0</v>
      </c>
      <c r="Z847">
        <v>3.2591944999999997E-2</v>
      </c>
      <c r="AA847">
        <v>0</v>
      </c>
      <c r="AB847" t="s">
        <v>33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f t="shared" si="13"/>
        <v>0</v>
      </c>
    </row>
    <row r="848" spans="1:34" x14ac:dyDescent="0.25">
      <c r="A848" s="1">
        <v>44746</v>
      </c>
      <c r="B848">
        <v>440</v>
      </c>
      <c r="C848">
        <v>-2.9768467E-2</v>
      </c>
      <c r="D848">
        <v>611</v>
      </c>
      <c r="E848">
        <v>-1.6339869999999999E-3</v>
      </c>
      <c r="F848">
        <v>-2.8134480999999999E-2</v>
      </c>
      <c r="G848">
        <v>2.8134480999999999E-2</v>
      </c>
      <c r="H848">
        <v>1.7460720999999998E-2</v>
      </c>
      <c r="I848">
        <v>2.9986540999999999E-2</v>
      </c>
      <c r="J848">
        <v>0</v>
      </c>
      <c r="K848">
        <v>0</v>
      </c>
      <c r="L848">
        <v>0</v>
      </c>
      <c r="M848">
        <v>5</v>
      </c>
      <c r="N848">
        <v>7.6222051999999998E-2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W848">
        <v>0</v>
      </c>
      <c r="X848">
        <v>0</v>
      </c>
      <c r="Y848">
        <v>0</v>
      </c>
      <c r="Z848">
        <v>2.9986540999999999E-2</v>
      </c>
      <c r="AA848">
        <v>0</v>
      </c>
      <c r="AB848" t="s">
        <v>33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f t="shared" si="13"/>
        <v>0</v>
      </c>
    </row>
    <row r="849" spans="1:34" x14ac:dyDescent="0.25">
      <c r="A849" s="1">
        <v>44747</v>
      </c>
      <c r="B849">
        <v>446</v>
      </c>
      <c r="C849">
        <v>1.3636364E-2</v>
      </c>
      <c r="D849">
        <v>615</v>
      </c>
      <c r="E849">
        <v>6.5466450000000002E-3</v>
      </c>
      <c r="F849">
        <v>7.0897190000000004E-3</v>
      </c>
      <c r="G849">
        <v>7.0897190000000004E-3</v>
      </c>
      <c r="H849">
        <v>2.3021542999999998E-2</v>
      </c>
      <c r="I849">
        <v>2.9578364999999999E-2</v>
      </c>
      <c r="J849">
        <v>1</v>
      </c>
      <c r="K849">
        <v>0</v>
      </c>
      <c r="L849">
        <v>0</v>
      </c>
      <c r="M849">
        <v>5</v>
      </c>
      <c r="N849">
        <v>0.66200377200000005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W849">
        <v>0</v>
      </c>
      <c r="X849">
        <v>0</v>
      </c>
      <c r="Y849">
        <v>0</v>
      </c>
      <c r="Z849">
        <v>2.9578364999999999E-2</v>
      </c>
      <c r="AA849">
        <v>0</v>
      </c>
      <c r="AB849" t="s">
        <v>33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f t="shared" si="13"/>
        <v>0</v>
      </c>
    </row>
    <row r="850" spans="1:34" x14ac:dyDescent="0.25">
      <c r="A850" s="1">
        <v>44748</v>
      </c>
      <c r="B850">
        <v>435.5</v>
      </c>
      <c r="C850">
        <v>-2.3542601E-2</v>
      </c>
      <c r="D850">
        <v>605</v>
      </c>
      <c r="E850">
        <v>-1.6260163000000001E-2</v>
      </c>
      <c r="F850">
        <v>-7.2824379999999996E-3</v>
      </c>
      <c r="G850">
        <v>7.2824379999999996E-3</v>
      </c>
      <c r="H850">
        <v>2.2544772000000001E-2</v>
      </c>
      <c r="I850">
        <v>2.5667623000000001E-2</v>
      </c>
      <c r="J850">
        <v>0</v>
      </c>
      <c r="K850">
        <v>0</v>
      </c>
      <c r="L850">
        <v>0</v>
      </c>
      <c r="M850">
        <v>5</v>
      </c>
      <c r="N850">
        <v>0.95948382799999998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W850">
        <v>0</v>
      </c>
      <c r="X850">
        <v>0</v>
      </c>
      <c r="Y850">
        <v>0</v>
      </c>
      <c r="Z850">
        <v>2.5667623000000001E-2</v>
      </c>
      <c r="AA850">
        <v>0</v>
      </c>
      <c r="AB850" t="s">
        <v>33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f t="shared" si="13"/>
        <v>0</v>
      </c>
    </row>
    <row r="851" spans="1:34" x14ac:dyDescent="0.25">
      <c r="A851" s="1">
        <v>44749</v>
      </c>
      <c r="B851">
        <v>457.5</v>
      </c>
      <c r="C851">
        <v>5.0516647999999997E-2</v>
      </c>
      <c r="D851">
        <v>636</v>
      </c>
      <c r="E851">
        <v>5.1239669000000002E-2</v>
      </c>
      <c r="F851">
        <v>-7.2302200000000003E-4</v>
      </c>
      <c r="G851">
        <v>7.2302200000000003E-4</v>
      </c>
      <c r="H851">
        <v>3.9202240999999999E-2</v>
      </c>
      <c r="I851">
        <v>4.0138038000000001E-2</v>
      </c>
      <c r="J851">
        <v>0</v>
      </c>
      <c r="K851">
        <v>0</v>
      </c>
      <c r="L851">
        <v>0</v>
      </c>
      <c r="M851">
        <v>5</v>
      </c>
      <c r="N851">
        <v>1.410060721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W851">
        <v>0</v>
      </c>
      <c r="X851">
        <v>0</v>
      </c>
      <c r="Y851">
        <v>0</v>
      </c>
      <c r="Z851">
        <v>4.0138038000000001E-2</v>
      </c>
      <c r="AA851">
        <v>0</v>
      </c>
      <c r="AB851" t="s">
        <v>33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f t="shared" si="13"/>
        <v>0</v>
      </c>
    </row>
    <row r="852" spans="1:34" x14ac:dyDescent="0.25">
      <c r="A852" s="1">
        <v>44750</v>
      </c>
      <c r="B852">
        <v>467</v>
      </c>
      <c r="C852">
        <v>2.0765026999999998E-2</v>
      </c>
      <c r="D852">
        <v>651</v>
      </c>
      <c r="E852">
        <v>2.3584905999999999E-2</v>
      </c>
      <c r="F852">
        <v>-2.8198780000000001E-3</v>
      </c>
      <c r="G852">
        <v>2.8198780000000001E-3</v>
      </c>
      <c r="H852">
        <v>3.3202726000000002E-2</v>
      </c>
      <c r="I852">
        <v>2.5912377E-2</v>
      </c>
      <c r="J852">
        <v>0</v>
      </c>
      <c r="K852">
        <v>0</v>
      </c>
      <c r="L852">
        <v>0</v>
      </c>
      <c r="M852">
        <v>5</v>
      </c>
      <c r="N852">
        <v>1.5833092339999999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W852">
        <v>0</v>
      </c>
      <c r="X852">
        <v>0</v>
      </c>
      <c r="Y852">
        <v>0</v>
      </c>
      <c r="Z852">
        <v>3.3202726000000002E-2</v>
      </c>
      <c r="AA852">
        <v>0</v>
      </c>
      <c r="AB852" t="s">
        <v>33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f t="shared" si="13"/>
        <v>0</v>
      </c>
    </row>
    <row r="853" spans="1:34" x14ac:dyDescent="0.25">
      <c r="A853" s="1">
        <v>44753</v>
      </c>
      <c r="B853">
        <v>462</v>
      </c>
      <c r="C853">
        <v>-1.0706637999999999E-2</v>
      </c>
      <c r="D853">
        <v>637</v>
      </c>
      <c r="E853">
        <v>-2.1505376E-2</v>
      </c>
      <c r="F853">
        <v>1.0798738E-2</v>
      </c>
      <c r="G853">
        <v>1.0798738E-2</v>
      </c>
      <c r="H853">
        <v>2.8829192E-2</v>
      </c>
      <c r="I853">
        <v>2.987973E-2</v>
      </c>
      <c r="J853">
        <v>1</v>
      </c>
      <c r="K853">
        <v>0</v>
      </c>
      <c r="L853">
        <v>0</v>
      </c>
      <c r="M853">
        <v>5</v>
      </c>
      <c r="N853">
        <v>2.769436298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W853">
        <v>0</v>
      </c>
      <c r="X853">
        <v>0</v>
      </c>
      <c r="Y853">
        <v>0</v>
      </c>
      <c r="Z853">
        <v>2.987973E-2</v>
      </c>
      <c r="AA853">
        <v>0</v>
      </c>
      <c r="AB853" t="s">
        <v>33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f t="shared" si="13"/>
        <v>0</v>
      </c>
    </row>
    <row r="854" spans="1:34" x14ac:dyDescent="0.25">
      <c r="A854" s="1">
        <v>44754</v>
      </c>
      <c r="B854">
        <v>449.5</v>
      </c>
      <c r="C854">
        <v>-2.7056277E-2</v>
      </c>
      <c r="D854">
        <v>614</v>
      </c>
      <c r="E854">
        <v>-3.610675E-2</v>
      </c>
      <c r="F854">
        <v>9.0504729999999999E-3</v>
      </c>
      <c r="G854">
        <v>9.0504729999999999E-3</v>
      </c>
      <c r="H854">
        <v>3.3030825E-2</v>
      </c>
      <c r="I854">
        <v>3.6097582000000003E-2</v>
      </c>
      <c r="J854">
        <v>1</v>
      </c>
      <c r="K854">
        <v>0</v>
      </c>
      <c r="L854">
        <v>0</v>
      </c>
      <c r="M854">
        <v>5</v>
      </c>
      <c r="N854">
        <v>1.822884035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W854">
        <v>0</v>
      </c>
      <c r="X854">
        <v>0</v>
      </c>
      <c r="Y854">
        <v>0</v>
      </c>
      <c r="Z854">
        <v>3.6097582000000003E-2</v>
      </c>
      <c r="AA854">
        <v>0</v>
      </c>
      <c r="AB854" t="s">
        <v>33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f t="shared" si="13"/>
        <v>0</v>
      </c>
    </row>
    <row r="855" spans="1:34" x14ac:dyDescent="0.25">
      <c r="A855" s="1">
        <v>44755</v>
      </c>
      <c r="B855">
        <v>470.5</v>
      </c>
      <c r="C855">
        <v>4.6718575999999998E-2</v>
      </c>
      <c r="D855">
        <v>634</v>
      </c>
      <c r="E855">
        <v>3.2573289999999998E-2</v>
      </c>
      <c r="F855">
        <v>1.4145286E-2</v>
      </c>
      <c r="G855">
        <v>1.4145286E-2</v>
      </c>
      <c r="H855">
        <v>3.4368633000000003E-2</v>
      </c>
      <c r="I855">
        <v>3.7125548000000001E-2</v>
      </c>
      <c r="J855">
        <v>1</v>
      </c>
      <c r="K855">
        <v>0</v>
      </c>
      <c r="L855">
        <v>0</v>
      </c>
      <c r="M855">
        <v>5</v>
      </c>
      <c r="N855">
        <v>0.93951053900000003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W855">
        <v>0</v>
      </c>
      <c r="X855">
        <v>0</v>
      </c>
      <c r="Y855">
        <v>0</v>
      </c>
      <c r="Z855">
        <v>3.7125548000000001E-2</v>
      </c>
      <c r="AA855">
        <v>0</v>
      </c>
      <c r="AB855" t="s">
        <v>33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f t="shared" si="13"/>
        <v>0</v>
      </c>
    </row>
    <row r="856" spans="1:34" x14ac:dyDescent="0.25">
      <c r="A856" s="1">
        <v>44756</v>
      </c>
      <c r="B856">
        <v>475</v>
      </c>
      <c r="C856">
        <v>9.5642929999999998E-3</v>
      </c>
      <c r="D856">
        <v>646</v>
      </c>
      <c r="E856">
        <v>1.8927445000000001E-2</v>
      </c>
      <c r="F856">
        <v>-9.3631510000000001E-3</v>
      </c>
      <c r="G856">
        <v>9.3631510000000001E-3</v>
      </c>
      <c r="H856">
        <v>2.8474988E-2</v>
      </c>
      <c r="I856">
        <v>3.0334093999999999E-2</v>
      </c>
      <c r="J856">
        <v>0</v>
      </c>
      <c r="K856">
        <v>0</v>
      </c>
      <c r="L856">
        <v>0</v>
      </c>
      <c r="M856">
        <v>5</v>
      </c>
      <c r="N856">
        <v>2.6913985280000001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W856">
        <v>0</v>
      </c>
      <c r="X856">
        <v>0</v>
      </c>
      <c r="Y856">
        <v>0</v>
      </c>
      <c r="Z856">
        <v>3.0334093999999999E-2</v>
      </c>
      <c r="AA856">
        <v>0</v>
      </c>
      <c r="AB856" t="s">
        <v>33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f t="shared" si="13"/>
        <v>0</v>
      </c>
    </row>
    <row r="857" spans="1:34" x14ac:dyDescent="0.25">
      <c r="A857" s="1">
        <v>44757</v>
      </c>
      <c r="B857">
        <v>492.5</v>
      </c>
      <c r="C857">
        <v>3.6842105E-2</v>
      </c>
      <c r="D857">
        <v>648</v>
      </c>
      <c r="E857">
        <v>3.0959749999999999E-3</v>
      </c>
      <c r="F857">
        <v>3.3746129999999999E-2</v>
      </c>
      <c r="G857">
        <v>3.3746129999999999E-2</v>
      </c>
      <c r="H857">
        <v>3.1085063E-2</v>
      </c>
      <c r="I857">
        <v>2.8254259E-2</v>
      </c>
      <c r="J857">
        <v>1</v>
      </c>
      <c r="K857">
        <v>1</v>
      </c>
      <c r="L857">
        <v>1</v>
      </c>
      <c r="M857">
        <v>5</v>
      </c>
      <c r="N857">
        <v>0.110566054</v>
      </c>
      <c r="O857">
        <v>-1</v>
      </c>
      <c r="P857">
        <v>5</v>
      </c>
      <c r="Q857">
        <v>6</v>
      </c>
      <c r="R857">
        <v>492.5</v>
      </c>
      <c r="S857">
        <v>-3240</v>
      </c>
      <c r="T857">
        <v>0</v>
      </c>
      <c r="U857">
        <v>0</v>
      </c>
      <c r="V857" t="s">
        <v>34</v>
      </c>
      <c r="W857">
        <v>492.5</v>
      </c>
      <c r="X857">
        <v>-3240</v>
      </c>
      <c r="Y857">
        <v>0</v>
      </c>
      <c r="Z857">
        <v>3.1085063E-2</v>
      </c>
      <c r="AA857">
        <v>3732.5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3732.5</v>
      </c>
      <c r="AH857">
        <f t="shared" si="13"/>
        <v>0</v>
      </c>
    </row>
    <row r="858" spans="1:34" x14ac:dyDescent="0.25">
      <c r="A858" s="1">
        <v>44760</v>
      </c>
      <c r="B858">
        <v>495.5</v>
      </c>
      <c r="C858">
        <v>6.0913709999999999E-3</v>
      </c>
      <c r="D858">
        <v>661</v>
      </c>
      <c r="E858">
        <v>2.0061728000000001E-2</v>
      </c>
      <c r="F858">
        <v>-1.3970358E-2</v>
      </c>
      <c r="G858">
        <v>1.3970358E-2</v>
      </c>
      <c r="H858">
        <v>2.8979188999999999E-2</v>
      </c>
      <c r="I858">
        <v>2.6635391000000001E-2</v>
      </c>
      <c r="J858">
        <v>0</v>
      </c>
      <c r="K858">
        <v>0</v>
      </c>
      <c r="L858">
        <v>-1</v>
      </c>
      <c r="M858">
        <v>5</v>
      </c>
      <c r="N858">
        <v>4.3935050230000003</v>
      </c>
      <c r="O858">
        <v>1</v>
      </c>
      <c r="P858">
        <v>-5</v>
      </c>
      <c r="Q858">
        <v>6</v>
      </c>
      <c r="R858">
        <v>-495.5</v>
      </c>
      <c r="S858">
        <v>3305</v>
      </c>
      <c r="T858">
        <v>-3</v>
      </c>
      <c r="U858">
        <v>65</v>
      </c>
      <c r="V858" t="s">
        <v>35</v>
      </c>
      <c r="W858">
        <v>-495.5</v>
      </c>
      <c r="X858">
        <v>3305</v>
      </c>
      <c r="Y858">
        <v>62</v>
      </c>
      <c r="Z858">
        <v>2.8979188999999999E-2</v>
      </c>
      <c r="AA858">
        <v>3800.5</v>
      </c>
      <c r="AB858">
        <v>0</v>
      </c>
      <c r="AC858">
        <v>62</v>
      </c>
      <c r="AD858">
        <v>1.6313642999999999E-2</v>
      </c>
      <c r="AE858">
        <v>0</v>
      </c>
      <c r="AF858">
        <v>62</v>
      </c>
      <c r="AG858">
        <v>0</v>
      </c>
      <c r="AH858">
        <f t="shared" si="13"/>
        <v>1.6313642941718196E-2</v>
      </c>
    </row>
    <row r="859" spans="1:34" x14ac:dyDescent="0.25">
      <c r="A859" s="1">
        <v>44761</v>
      </c>
      <c r="B859">
        <v>491</v>
      </c>
      <c r="C859">
        <v>-9.081736E-3</v>
      </c>
      <c r="D859">
        <v>662</v>
      </c>
      <c r="E859">
        <v>1.5128590000000001E-3</v>
      </c>
      <c r="F859">
        <v>-1.0594595E-2</v>
      </c>
      <c r="G859">
        <v>1.0594595E-2</v>
      </c>
      <c r="H859">
        <v>2.3055231999999998E-2</v>
      </c>
      <c r="I859">
        <v>1.2973057E-2</v>
      </c>
      <c r="J859">
        <v>0</v>
      </c>
      <c r="K859">
        <v>0</v>
      </c>
      <c r="L859">
        <v>0</v>
      </c>
      <c r="M859">
        <v>5</v>
      </c>
      <c r="N859">
        <v>0.22459815399999999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W859">
        <v>0</v>
      </c>
      <c r="X859">
        <v>0</v>
      </c>
      <c r="Y859">
        <v>0</v>
      </c>
      <c r="Z859">
        <v>2.3055231999999998E-2</v>
      </c>
      <c r="AA859">
        <v>0</v>
      </c>
      <c r="AB859" t="s">
        <v>33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f t="shared" si="13"/>
        <v>0</v>
      </c>
    </row>
    <row r="860" spans="1:34" x14ac:dyDescent="0.25">
      <c r="A860" s="1">
        <v>44762</v>
      </c>
      <c r="B860">
        <v>495</v>
      </c>
      <c r="C860">
        <v>8.1466400000000001E-3</v>
      </c>
      <c r="D860">
        <v>671</v>
      </c>
      <c r="E860">
        <v>1.3595166000000001E-2</v>
      </c>
      <c r="F860">
        <v>-5.4485269999999999E-3</v>
      </c>
      <c r="G860">
        <v>5.4485269999999999E-3</v>
      </c>
      <c r="H860">
        <v>1.6605910000000002E-2</v>
      </c>
      <c r="I860">
        <v>8.7064870000000006E-3</v>
      </c>
      <c r="J860">
        <v>0</v>
      </c>
      <c r="K860">
        <v>0</v>
      </c>
      <c r="L860">
        <v>0</v>
      </c>
      <c r="M860">
        <v>5</v>
      </c>
      <c r="N860">
        <v>2.262160121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W860">
        <v>0</v>
      </c>
      <c r="X860">
        <v>0</v>
      </c>
      <c r="Y860">
        <v>0</v>
      </c>
      <c r="Z860">
        <v>1.6605910000000002E-2</v>
      </c>
      <c r="AA860">
        <v>0</v>
      </c>
      <c r="AB860" t="s">
        <v>33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f t="shared" si="13"/>
        <v>0</v>
      </c>
    </row>
    <row r="861" spans="1:34" x14ac:dyDescent="0.25">
      <c r="A861" s="1">
        <v>44763</v>
      </c>
      <c r="B861">
        <v>501</v>
      </c>
      <c r="C861">
        <v>1.2121211999999999E-2</v>
      </c>
      <c r="D861">
        <v>716</v>
      </c>
      <c r="E861">
        <v>6.7064082999999997E-2</v>
      </c>
      <c r="F861">
        <v>-5.4942870999999997E-2</v>
      </c>
      <c r="G861">
        <v>5.4942870999999997E-2</v>
      </c>
      <c r="H861">
        <v>1.6616474999999999E-2</v>
      </c>
      <c r="I861">
        <v>2.6822997000000001E-2</v>
      </c>
      <c r="J861">
        <v>0</v>
      </c>
      <c r="K861">
        <v>1</v>
      </c>
      <c r="L861">
        <v>1</v>
      </c>
      <c r="M861">
        <v>5</v>
      </c>
      <c r="N861">
        <v>7.9071365470000003</v>
      </c>
      <c r="O861">
        <v>40</v>
      </c>
      <c r="P861">
        <v>-5</v>
      </c>
      <c r="Q861">
        <v>45</v>
      </c>
      <c r="R861">
        <v>-20040</v>
      </c>
      <c r="S861">
        <v>3580</v>
      </c>
      <c r="T861">
        <v>0</v>
      </c>
      <c r="U861">
        <v>0</v>
      </c>
      <c r="V861" t="s">
        <v>34</v>
      </c>
      <c r="W861">
        <v>-20040</v>
      </c>
      <c r="X861">
        <v>3580</v>
      </c>
      <c r="Y861">
        <v>0</v>
      </c>
      <c r="Z861">
        <v>2.6822997000000001E-2</v>
      </c>
      <c r="AA861">
        <v>23620</v>
      </c>
      <c r="AB861">
        <v>0.01</v>
      </c>
      <c r="AC861">
        <v>0</v>
      </c>
      <c r="AD861">
        <v>0</v>
      </c>
      <c r="AE861">
        <v>0</v>
      </c>
      <c r="AF861">
        <v>0</v>
      </c>
      <c r="AG861">
        <v>23620</v>
      </c>
      <c r="AH861">
        <f t="shared" si="13"/>
        <v>0</v>
      </c>
    </row>
    <row r="862" spans="1:34" x14ac:dyDescent="0.25">
      <c r="A862" s="1">
        <v>44764</v>
      </c>
      <c r="B862">
        <v>503</v>
      </c>
      <c r="C862">
        <v>3.9920160000000001E-3</v>
      </c>
      <c r="D862">
        <v>705</v>
      </c>
      <c r="E862">
        <v>-1.5363128E-2</v>
      </c>
      <c r="F862">
        <v>1.9355144000000001E-2</v>
      </c>
      <c r="G862">
        <v>1.9355144000000001E-2</v>
      </c>
      <c r="H862">
        <v>8.0363559999999997E-3</v>
      </c>
      <c r="I862">
        <v>3.0878404000000002E-2</v>
      </c>
      <c r="J862">
        <v>1</v>
      </c>
      <c r="K862">
        <v>0</v>
      </c>
      <c r="L862">
        <v>-1</v>
      </c>
      <c r="M862">
        <v>5</v>
      </c>
      <c r="N862">
        <v>5.3939699790000004</v>
      </c>
      <c r="O862">
        <v>-40</v>
      </c>
      <c r="P862">
        <v>5</v>
      </c>
      <c r="Q862">
        <v>45</v>
      </c>
      <c r="R862">
        <v>20120</v>
      </c>
      <c r="S862">
        <v>-3525</v>
      </c>
      <c r="T862">
        <v>80</v>
      </c>
      <c r="U862">
        <v>55</v>
      </c>
      <c r="V862" t="s">
        <v>35</v>
      </c>
      <c r="W862">
        <v>20120</v>
      </c>
      <c r="X862">
        <v>-3525</v>
      </c>
      <c r="Y862">
        <v>135</v>
      </c>
      <c r="Z862">
        <v>3.0878404000000002E-2</v>
      </c>
      <c r="AA862">
        <v>23645</v>
      </c>
      <c r="AB862">
        <v>0.01</v>
      </c>
      <c r="AC862">
        <v>135</v>
      </c>
      <c r="AD862">
        <v>5.7094520000000003E-3</v>
      </c>
      <c r="AE862">
        <v>0</v>
      </c>
      <c r="AF862">
        <v>135</v>
      </c>
      <c r="AG862">
        <v>0</v>
      </c>
      <c r="AH862">
        <f t="shared" si="13"/>
        <v>5.7094523155001055E-3</v>
      </c>
    </row>
    <row r="863" spans="1:34" x14ac:dyDescent="0.25">
      <c r="A863" s="1">
        <v>44767</v>
      </c>
      <c r="B863">
        <v>499.5</v>
      </c>
      <c r="C863">
        <v>-6.95825E-3</v>
      </c>
      <c r="D863">
        <v>688</v>
      </c>
      <c r="E863">
        <v>-2.4113474999999999E-2</v>
      </c>
      <c r="F863">
        <v>1.7155225E-2</v>
      </c>
      <c r="G863">
        <v>1.7155225E-2</v>
      </c>
      <c r="H863">
        <v>9.3087269999999993E-3</v>
      </c>
      <c r="I863">
        <v>3.5838571E-2</v>
      </c>
      <c r="J863">
        <v>1</v>
      </c>
      <c r="K863">
        <v>0</v>
      </c>
      <c r="L863">
        <v>0</v>
      </c>
      <c r="M863">
        <v>5</v>
      </c>
      <c r="N863">
        <v>4.773233619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W863">
        <v>0</v>
      </c>
      <c r="X863">
        <v>0</v>
      </c>
      <c r="Y863">
        <v>0</v>
      </c>
      <c r="Z863">
        <v>3.5838571E-2</v>
      </c>
      <c r="AA863">
        <v>0</v>
      </c>
      <c r="AB863" t="s">
        <v>33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f t="shared" si="13"/>
        <v>0</v>
      </c>
    </row>
    <row r="864" spans="1:34" x14ac:dyDescent="0.25">
      <c r="A864" s="1">
        <v>44768</v>
      </c>
      <c r="B864">
        <v>495</v>
      </c>
      <c r="C864">
        <v>-9.0090090000000001E-3</v>
      </c>
      <c r="D864">
        <v>681</v>
      </c>
      <c r="E864">
        <v>-1.0174419000000001E-2</v>
      </c>
      <c r="F864">
        <v>1.16541E-3</v>
      </c>
      <c r="G864">
        <v>1.16541E-3</v>
      </c>
      <c r="H864">
        <v>9.287811E-3</v>
      </c>
      <c r="I864">
        <v>3.6780163999999997E-2</v>
      </c>
      <c r="J864">
        <v>1</v>
      </c>
      <c r="K864">
        <v>0</v>
      </c>
      <c r="L864">
        <v>0</v>
      </c>
      <c r="M864">
        <v>5</v>
      </c>
      <c r="N864">
        <v>1.553726216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W864">
        <v>0</v>
      </c>
      <c r="X864">
        <v>0</v>
      </c>
      <c r="Y864">
        <v>0</v>
      </c>
      <c r="Z864">
        <v>3.6780163999999997E-2</v>
      </c>
      <c r="AA864">
        <v>0</v>
      </c>
      <c r="AB864" t="s">
        <v>33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f t="shared" si="13"/>
        <v>0</v>
      </c>
    </row>
    <row r="865" spans="1:34" x14ac:dyDescent="0.25">
      <c r="A865" s="1">
        <v>44769</v>
      </c>
      <c r="B865">
        <v>502</v>
      </c>
      <c r="C865">
        <v>1.4141414E-2</v>
      </c>
      <c r="D865">
        <v>677</v>
      </c>
      <c r="E865">
        <v>-5.8737149999999998E-3</v>
      </c>
      <c r="F865">
        <v>2.0015129E-2</v>
      </c>
      <c r="G865">
        <v>2.0015129E-2</v>
      </c>
      <c r="H865">
        <v>1.0625361E-2</v>
      </c>
      <c r="I865">
        <v>3.6832271E-2</v>
      </c>
      <c r="J865">
        <v>1</v>
      </c>
      <c r="K865">
        <v>0</v>
      </c>
      <c r="L865">
        <v>0</v>
      </c>
      <c r="M865">
        <v>5</v>
      </c>
      <c r="N865">
        <v>0.56015083799999998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W865">
        <v>0</v>
      </c>
      <c r="X865">
        <v>0</v>
      </c>
      <c r="Y865">
        <v>0</v>
      </c>
      <c r="Z865">
        <v>3.6832271E-2</v>
      </c>
      <c r="AA865">
        <v>0</v>
      </c>
      <c r="AB865" t="s">
        <v>33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f t="shared" si="13"/>
        <v>0</v>
      </c>
    </row>
    <row r="866" spans="1:34" x14ac:dyDescent="0.25">
      <c r="A866" s="1">
        <v>44770</v>
      </c>
      <c r="B866">
        <v>501</v>
      </c>
      <c r="C866">
        <v>-1.9920319999999999E-3</v>
      </c>
      <c r="D866">
        <v>682</v>
      </c>
      <c r="E866">
        <v>7.3855240000000001E-3</v>
      </c>
      <c r="F866">
        <v>-9.3775560000000004E-3</v>
      </c>
      <c r="G866">
        <v>9.3775560000000004E-3</v>
      </c>
      <c r="H866">
        <v>9.3468900000000001E-3</v>
      </c>
      <c r="I866">
        <v>1.168946E-2</v>
      </c>
      <c r="J866">
        <v>0</v>
      </c>
      <c r="K866">
        <v>0</v>
      </c>
      <c r="L866">
        <v>0</v>
      </c>
      <c r="M866">
        <v>5</v>
      </c>
      <c r="N866">
        <v>5.0469813700000001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W866">
        <v>0</v>
      </c>
      <c r="X866">
        <v>0</v>
      </c>
      <c r="Y866">
        <v>0</v>
      </c>
      <c r="Z866">
        <v>1.168946E-2</v>
      </c>
      <c r="AA866">
        <v>0</v>
      </c>
      <c r="AB866" t="s">
        <v>33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f t="shared" si="13"/>
        <v>0</v>
      </c>
    </row>
    <row r="867" spans="1:34" x14ac:dyDescent="0.25">
      <c r="A867" s="1">
        <v>44771</v>
      </c>
      <c r="B867">
        <v>509</v>
      </c>
      <c r="C867">
        <v>1.5968064000000001E-2</v>
      </c>
      <c r="D867">
        <v>683</v>
      </c>
      <c r="E867">
        <v>1.4662760000000001E-3</v>
      </c>
      <c r="F867">
        <v>1.4501788E-2</v>
      </c>
      <c r="G867">
        <v>1.4501788E-2</v>
      </c>
      <c r="H867">
        <v>1.1821389E-2</v>
      </c>
      <c r="I867">
        <v>1.2042779E-2</v>
      </c>
      <c r="J867">
        <v>1</v>
      </c>
      <c r="K867">
        <v>1</v>
      </c>
      <c r="L867">
        <v>1</v>
      </c>
      <c r="M867">
        <v>5</v>
      </c>
      <c r="N867">
        <v>0.123215767</v>
      </c>
      <c r="O867">
        <v>-1</v>
      </c>
      <c r="P867">
        <v>5</v>
      </c>
      <c r="Q867">
        <v>6</v>
      </c>
      <c r="R867">
        <v>509</v>
      </c>
      <c r="S867">
        <v>-3415</v>
      </c>
      <c r="T867">
        <v>0</v>
      </c>
      <c r="U867">
        <v>0</v>
      </c>
      <c r="V867" t="s">
        <v>34</v>
      </c>
      <c r="W867">
        <v>509</v>
      </c>
      <c r="X867">
        <v>-3415</v>
      </c>
      <c r="Y867">
        <v>0</v>
      </c>
      <c r="Z867">
        <v>1.2042779E-2</v>
      </c>
      <c r="AA867">
        <v>3924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3924</v>
      </c>
      <c r="AH867">
        <f t="shared" si="13"/>
        <v>0</v>
      </c>
    </row>
    <row r="868" spans="1:34" x14ac:dyDescent="0.25">
      <c r="A868" s="1">
        <v>44774</v>
      </c>
      <c r="B868">
        <v>504</v>
      </c>
      <c r="C868">
        <v>-9.8231829999999992E-3</v>
      </c>
      <c r="D868">
        <v>694</v>
      </c>
      <c r="E868">
        <v>1.6105417E-2</v>
      </c>
      <c r="F868">
        <v>-2.59286E-2</v>
      </c>
      <c r="G868">
        <v>2.59286E-2</v>
      </c>
      <c r="H868">
        <v>1.2443279999999999E-2</v>
      </c>
      <c r="I868">
        <v>1.0466916999999999E-2</v>
      </c>
      <c r="J868">
        <v>0</v>
      </c>
      <c r="K868">
        <v>0</v>
      </c>
      <c r="L868">
        <v>-1</v>
      </c>
      <c r="M868">
        <v>5</v>
      </c>
      <c r="N868">
        <v>2.2576088219999999</v>
      </c>
      <c r="O868">
        <v>1</v>
      </c>
      <c r="P868">
        <v>-5</v>
      </c>
      <c r="Q868">
        <v>6</v>
      </c>
      <c r="R868">
        <v>-504</v>
      </c>
      <c r="S868">
        <v>3470</v>
      </c>
      <c r="T868">
        <v>5</v>
      </c>
      <c r="U868">
        <v>55</v>
      </c>
      <c r="V868" t="s">
        <v>35</v>
      </c>
      <c r="W868">
        <v>-504</v>
      </c>
      <c r="X868">
        <v>3470</v>
      </c>
      <c r="Y868">
        <v>60</v>
      </c>
      <c r="Z868">
        <v>1.2443279999999999E-2</v>
      </c>
      <c r="AA868">
        <v>3974</v>
      </c>
      <c r="AB868">
        <v>0</v>
      </c>
      <c r="AC868">
        <v>60</v>
      </c>
      <c r="AD868">
        <v>1.5098138000000001E-2</v>
      </c>
      <c r="AE868">
        <v>0</v>
      </c>
      <c r="AF868">
        <v>60</v>
      </c>
      <c r="AG868">
        <v>0</v>
      </c>
      <c r="AH868">
        <f t="shared" si="13"/>
        <v>1.509813789632612E-2</v>
      </c>
    </row>
    <row r="869" spans="1:34" x14ac:dyDescent="0.25">
      <c r="A869" s="1">
        <v>44775</v>
      </c>
      <c r="B869">
        <v>492</v>
      </c>
      <c r="C869">
        <v>-2.3809523999999999E-2</v>
      </c>
      <c r="D869">
        <v>683</v>
      </c>
      <c r="E869">
        <v>-1.5850144E-2</v>
      </c>
      <c r="F869">
        <v>-7.9593800000000003E-3</v>
      </c>
      <c r="G869">
        <v>7.9593800000000003E-3</v>
      </c>
      <c r="H869">
        <v>1.6705026000000001E-2</v>
      </c>
      <c r="I869">
        <v>1.2244560999999999E-2</v>
      </c>
      <c r="J869">
        <v>0</v>
      </c>
      <c r="K869">
        <v>0</v>
      </c>
      <c r="L869">
        <v>0</v>
      </c>
      <c r="M869">
        <v>5</v>
      </c>
      <c r="N869">
        <v>0.92414071799999997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W869">
        <v>0</v>
      </c>
      <c r="X869">
        <v>0</v>
      </c>
      <c r="Y869">
        <v>0</v>
      </c>
      <c r="Z869">
        <v>1.6705026000000001E-2</v>
      </c>
      <c r="AA869">
        <v>0</v>
      </c>
      <c r="AB869" t="s">
        <v>33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f t="shared" si="13"/>
        <v>0</v>
      </c>
    </row>
    <row r="870" spans="1:34" x14ac:dyDescent="0.25">
      <c r="A870" s="1">
        <v>44776</v>
      </c>
      <c r="B870">
        <v>501</v>
      </c>
      <c r="C870">
        <v>1.8292683000000001E-2</v>
      </c>
      <c r="D870">
        <v>686</v>
      </c>
      <c r="E870">
        <v>4.3923870000000002E-3</v>
      </c>
      <c r="F870">
        <v>1.3900295999999999E-2</v>
      </c>
      <c r="G870">
        <v>1.3900295999999999E-2</v>
      </c>
      <c r="H870">
        <v>1.7724177000000001E-2</v>
      </c>
      <c r="I870">
        <v>1.1727675E-2</v>
      </c>
      <c r="J870">
        <v>1</v>
      </c>
      <c r="K870">
        <v>0</v>
      </c>
      <c r="L870">
        <v>0</v>
      </c>
      <c r="M870">
        <v>5</v>
      </c>
      <c r="N870">
        <v>0.328783137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W870">
        <v>0</v>
      </c>
      <c r="X870">
        <v>0</v>
      </c>
      <c r="Y870">
        <v>0</v>
      </c>
      <c r="Z870">
        <v>1.7724177000000001E-2</v>
      </c>
      <c r="AA870">
        <v>0</v>
      </c>
      <c r="AB870" t="s">
        <v>33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f t="shared" si="13"/>
        <v>0</v>
      </c>
    </row>
    <row r="871" spans="1:34" x14ac:dyDescent="0.25">
      <c r="A871" s="1">
        <v>44777</v>
      </c>
      <c r="B871">
        <v>500</v>
      </c>
      <c r="C871">
        <v>-1.9960080000000001E-3</v>
      </c>
      <c r="D871">
        <v>684</v>
      </c>
      <c r="E871">
        <v>-2.9154519999999998E-3</v>
      </c>
      <c r="F871">
        <v>9.1944399999999995E-4</v>
      </c>
      <c r="G871">
        <v>9.1944399999999995E-4</v>
      </c>
      <c r="H871">
        <v>1.7724272999999999E-2</v>
      </c>
      <c r="I871">
        <v>1.1602891000000001E-2</v>
      </c>
      <c r="J871">
        <v>1</v>
      </c>
      <c r="K871">
        <v>0</v>
      </c>
      <c r="L871">
        <v>0</v>
      </c>
      <c r="M871">
        <v>5</v>
      </c>
      <c r="N871">
        <v>1.9981574339999999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W871">
        <v>0</v>
      </c>
      <c r="X871">
        <v>0</v>
      </c>
      <c r="Y871">
        <v>0</v>
      </c>
      <c r="Z871">
        <v>1.7724272999999999E-2</v>
      </c>
      <c r="AA871">
        <v>0</v>
      </c>
      <c r="AB871" t="s">
        <v>33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f t="shared" si="13"/>
        <v>0</v>
      </c>
    </row>
    <row r="872" spans="1:34" x14ac:dyDescent="0.25">
      <c r="A872" s="1">
        <v>44778</v>
      </c>
      <c r="B872">
        <v>516</v>
      </c>
      <c r="C872">
        <v>3.2000000000000001E-2</v>
      </c>
      <c r="D872">
        <v>717</v>
      </c>
      <c r="E872">
        <v>4.8245613999999999E-2</v>
      </c>
      <c r="F872">
        <v>-1.6245613999999999E-2</v>
      </c>
      <c r="G872">
        <v>1.6245613999999999E-2</v>
      </c>
      <c r="H872">
        <v>2.2265377999999999E-2</v>
      </c>
      <c r="I872">
        <v>2.4323277000000001E-2</v>
      </c>
      <c r="J872">
        <v>0</v>
      </c>
      <c r="K872">
        <v>0</v>
      </c>
      <c r="L872">
        <v>0</v>
      </c>
      <c r="M872">
        <v>5</v>
      </c>
      <c r="N872">
        <v>2.0949676149999998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W872">
        <v>0</v>
      </c>
      <c r="X872">
        <v>0</v>
      </c>
      <c r="Y872">
        <v>0</v>
      </c>
      <c r="Z872">
        <v>2.4323277000000001E-2</v>
      </c>
      <c r="AA872">
        <v>0</v>
      </c>
      <c r="AB872" t="s">
        <v>33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f t="shared" si="13"/>
        <v>0</v>
      </c>
    </row>
    <row r="873" spans="1:34" x14ac:dyDescent="0.25">
      <c r="A873" s="1">
        <v>44781</v>
      </c>
      <c r="B873">
        <v>512</v>
      </c>
      <c r="C873">
        <v>-7.7519379999999999E-3</v>
      </c>
      <c r="D873">
        <v>709</v>
      </c>
      <c r="E873">
        <v>-1.1157601E-2</v>
      </c>
      <c r="F873">
        <v>3.4056630000000002E-3</v>
      </c>
      <c r="G873">
        <v>3.4056630000000002E-3</v>
      </c>
      <c r="H873">
        <v>2.1986239000000001E-2</v>
      </c>
      <c r="I873">
        <v>2.5631811000000001E-2</v>
      </c>
      <c r="J873">
        <v>1</v>
      </c>
      <c r="K873">
        <v>0</v>
      </c>
      <c r="L873">
        <v>0</v>
      </c>
      <c r="M873">
        <v>5</v>
      </c>
      <c r="N873">
        <v>1.99313546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W873">
        <v>0</v>
      </c>
      <c r="X873">
        <v>0</v>
      </c>
      <c r="Y873">
        <v>0</v>
      </c>
      <c r="Z873">
        <v>2.5631811000000001E-2</v>
      </c>
      <c r="AA873">
        <v>0</v>
      </c>
      <c r="AB873" t="s">
        <v>33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f t="shared" si="13"/>
        <v>0</v>
      </c>
    </row>
    <row r="874" spans="1:34" x14ac:dyDescent="0.25">
      <c r="A874" s="1">
        <v>44782</v>
      </c>
      <c r="B874">
        <v>510</v>
      </c>
      <c r="C874">
        <v>-3.90625E-3</v>
      </c>
      <c r="D874">
        <v>694</v>
      </c>
      <c r="E874">
        <v>-2.1156558999999998E-2</v>
      </c>
      <c r="F874">
        <v>1.7250308999999998E-2</v>
      </c>
      <c r="G874">
        <v>1.7250308999999998E-2</v>
      </c>
      <c r="H874">
        <v>1.7098843999999998E-2</v>
      </c>
      <c r="I874">
        <v>2.6771784999999999E-2</v>
      </c>
      <c r="J874">
        <v>1</v>
      </c>
      <c r="K874">
        <v>0</v>
      </c>
      <c r="L874">
        <v>0</v>
      </c>
      <c r="M874">
        <v>5</v>
      </c>
      <c r="N874">
        <v>7.3701153240000004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W874">
        <v>0</v>
      </c>
      <c r="X874">
        <v>0</v>
      </c>
      <c r="Y874">
        <v>0</v>
      </c>
      <c r="Z874">
        <v>2.6771784999999999E-2</v>
      </c>
      <c r="AA874">
        <v>0</v>
      </c>
      <c r="AB874" t="s">
        <v>33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f t="shared" si="13"/>
        <v>0</v>
      </c>
    </row>
    <row r="875" spans="1:34" x14ac:dyDescent="0.25">
      <c r="A875" s="1">
        <v>44783</v>
      </c>
      <c r="B875">
        <v>500</v>
      </c>
      <c r="C875">
        <v>-1.9607843E-2</v>
      </c>
      <c r="D875">
        <v>668</v>
      </c>
      <c r="E875">
        <v>-3.7463977000000002E-2</v>
      </c>
      <c r="F875">
        <v>1.7856133999999999E-2</v>
      </c>
      <c r="G875">
        <v>1.7856133999999999E-2</v>
      </c>
      <c r="H875">
        <v>1.9283959E-2</v>
      </c>
      <c r="I875">
        <v>3.2373754999999997E-2</v>
      </c>
      <c r="J875">
        <v>1</v>
      </c>
      <c r="K875">
        <v>0</v>
      </c>
      <c r="L875">
        <v>0</v>
      </c>
      <c r="M875">
        <v>5</v>
      </c>
      <c r="N875">
        <v>2.5526455330000002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W875">
        <v>0</v>
      </c>
      <c r="X875">
        <v>0</v>
      </c>
      <c r="Y875">
        <v>0</v>
      </c>
      <c r="Z875">
        <v>3.2373754999999997E-2</v>
      </c>
      <c r="AA875">
        <v>0</v>
      </c>
      <c r="AB875" t="s">
        <v>33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f t="shared" si="13"/>
        <v>0</v>
      </c>
    </row>
    <row r="876" spans="1:34" x14ac:dyDescent="0.25">
      <c r="A876" s="1">
        <v>44784</v>
      </c>
      <c r="B876">
        <v>514</v>
      </c>
      <c r="C876">
        <v>2.8000000000000001E-2</v>
      </c>
      <c r="D876">
        <v>670</v>
      </c>
      <c r="E876">
        <v>2.9940119999999999E-3</v>
      </c>
      <c r="F876">
        <v>2.5005988E-2</v>
      </c>
      <c r="G876">
        <v>2.5005988E-2</v>
      </c>
      <c r="H876">
        <v>2.2927552E-2</v>
      </c>
      <c r="I876">
        <v>3.2571112999999999E-2</v>
      </c>
      <c r="J876">
        <v>1</v>
      </c>
      <c r="K876">
        <v>0</v>
      </c>
      <c r="L876">
        <v>0</v>
      </c>
      <c r="M876">
        <v>5</v>
      </c>
      <c r="N876">
        <v>0.13938215800000001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W876">
        <v>0</v>
      </c>
      <c r="X876">
        <v>0</v>
      </c>
      <c r="Y876">
        <v>0</v>
      </c>
      <c r="Z876">
        <v>3.2571112999999999E-2</v>
      </c>
      <c r="AA876">
        <v>0</v>
      </c>
      <c r="AB876" t="s">
        <v>33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f t="shared" si="13"/>
        <v>0</v>
      </c>
    </row>
    <row r="877" spans="1:34" x14ac:dyDescent="0.25">
      <c r="A877" s="1">
        <v>44785</v>
      </c>
      <c r="B877">
        <v>517</v>
      </c>
      <c r="C877">
        <v>5.8365759999999996E-3</v>
      </c>
      <c r="D877">
        <v>684</v>
      </c>
      <c r="E877">
        <v>2.0895522E-2</v>
      </c>
      <c r="F877">
        <v>-1.5058947E-2</v>
      </c>
      <c r="G877">
        <v>1.5058947E-2</v>
      </c>
      <c r="H877">
        <v>1.786451E-2</v>
      </c>
      <c r="I877">
        <v>2.2361104E-2</v>
      </c>
      <c r="J877">
        <v>0</v>
      </c>
      <c r="K877">
        <v>0</v>
      </c>
      <c r="L877">
        <v>0</v>
      </c>
      <c r="M877">
        <v>5</v>
      </c>
      <c r="N877">
        <v>4.7365339649999996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W877">
        <v>0</v>
      </c>
      <c r="X877">
        <v>0</v>
      </c>
      <c r="Y877">
        <v>0</v>
      </c>
      <c r="Z877">
        <v>2.2361104E-2</v>
      </c>
      <c r="AA877">
        <v>0</v>
      </c>
      <c r="AB877" t="s">
        <v>33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f t="shared" si="13"/>
        <v>0</v>
      </c>
    </row>
    <row r="878" spans="1:34" x14ac:dyDescent="0.25">
      <c r="A878" s="1">
        <v>44788</v>
      </c>
      <c r="B878">
        <v>523</v>
      </c>
      <c r="C878">
        <v>1.1605416E-2</v>
      </c>
      <c r="D878">
        <v>706</v>
      </c>
      <c r="E878">
        <v>3.2163743000000002E-2</v>
      </c>
      <c r="F878">
        <v>-2.0558327000000001E-2</v>
      </c>
      <c r="G878">
        <v>2.0558327000000001E-2</v>
      </c>
      <c r="H878">
        <v>1.7722239000000001E-2</v>
      </c>
      <c r="I878">
        <v>2.885275E-2</v>
      </c>
      <c r="J878">
        <v>0</v>
      </c>
      <c r="K878">
        <v>0</v>
      </c>
      <c r="L878">
        <v>0</v>
      </c>
      <c r="M878">
        <v>5</v>
      </c>
      <c r="N878">
        <v>3.7411824120000001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W878">
        <v>0</v>
      </c>
      <c r="X878">
        <v>0</v>
      </c>
      <c r="Y878">
        <v>0</v>
      </c>
      <c r="Z878">
        <v>2.885275E-2</v>
      </c>
      <c r="AA878">
        <v>0</v>
      </c>
      <c r="AB878" t="s">
        <v>33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f t="shared" si="13"/>
        <v>0</v>
      </c>
    </row>
    <row r="879" spans="1:34" x14ac:dyDescent="0.25">
      <c r="A879" s="1">
        <v>44789</v>
      </c>
      <c r="B879">
        <v>525</v>
      </c>
      <c r="C879">
        <v>3.8240919999999999E-3</v>
      </c>
      <c r="D879">
        <v>706</v>
      </c>
      <c r="E879">
        <v>0</v>
      </c>
      <c r="F879">
        <v>3.8240919999999999E-3</v>
      </c>
      <c r="G879">
        <v>3.8240919999999999E-3</v>
      </c>
      <c r="H879">
        <v>1.7145846999999999E-2</v>
      </c>
      <c r="I879">
        <v>2.6526074E-2</v>
      </c>
      <c r="J879">
        <v>1</v>
      </c>
      <c r="K879">
        <v>0</v>
      </c>
      <c r="L879">
        <v>0</v>
      </c>
      <c r="M879">
        <v>5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W879">
        <v>0</v>
      </c>
      <c r="X879">
        <v>0</v>
      </c>
      <c r="Y879">
        <v>0</v>
      </c>
      <c r="Z879">
        <v>2.6526074E-2</v>
      </c>
      <c r="AA879">
        <v>0</v>
      </c>
      <c r="AB879" t="s">
        <v>33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f t="shared" si="13"/>
        <v>0</v>
      </c>
    </row>
    <row r="880" spans="1:34" x14ac:dyDescent="0.25">
      <c r="A880" s="1">
        <v>44790</v>
      </c>
      <c r="B880">
        <v>527</v>
      </c>
      <c r="C880">
        <v>3.8095239999999999E-3</v>
      </c>
      <c r="D880">
        <v>703</v>
      </c>
      <c r="E880">
        <v>-4.249292E-3</v>
      </c>
      <c r="F880">
        <v>8.0588159999999999E-3</v>
      </c>
      <c r="G880">
        <v>8.0588159999999999E-3</v>
      </c>
      <c r="H880">
        <v>1.0228434E-2</v>
      </c>
      <c r="I880">
        <v>1.5503380000000001E-2</v>
      </c>
      <c r="J880">
        <v>1</v>
      </c>
      <c r="K880">
        <v>0</v>
      </c>
      <c r="L880">
        <v>0</v>
      </c>
      <c r="M880">
        <v>5</v>
      </c>
      <c r="N880">
        <v>1.487957652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W880">
        <v>0</v>
      </c>
      <c r="X880">
        <v>0</v>
      </c>
      <c r="Y880">
        <v>0</v>
      </c>
      <c r="Z880">
        <v>1.5503380000000001E-2</v>
      </c>
      <c r="AA880">
        <v>0</v>
      </c>
      <c r="AB880" t="s">
        <v>33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f t="shared" si="13"/>
        <v>0</v>
      </c>
    </row>
    <row r="881" spans="1:34" x14ac:dyDescent="0.25">
      <c r="A881" s="1">
        <v>44791</v>
      </c>
      <c r="B881">
        <v>520</v>
      </c>
      <c r="C881">
        <v>-1.3282732E-2</v>
      </c>
      <c r="D881">
        <v>702</v>
      </c>
      <c r="E881">
        <v>-1.4224750000000001E-3</v>
      </c>
      <c r="F881">
        <v>-1.1860257000000001E-2</v>
      </c>
      <c r="G881">
        <v>1.1860257000000001E-2</v>
      </c>
      <c r="H881">
        <v>9.3073099999999992E-3</v>
      </c>
      <c r="I881">
        <v>1.6140741E-2</v>
      </c>
      <c r="J881">
        <v>0</v>
      </c>
      <c r="K881">
        <v>0</v>
      </c>
      <c r="L881">
        <v>0</v>
      </c>
      <c r="M881">
        <v>5</v>
      </c>
      <c r="N881">
        <v>0.144574274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W881">
        <v>0</v>
      </c>
      <c r="X881">
        <v>0</v>
      </c>
      <c r="Y881">
        <v>0</v>
      </c>
      <c r="Z881">
        <v>1.6140741E-2</v>
      </c>
      <c r="AA881">
        <v>0</v>
      </c>
      <c r="AB881" t="s">
        <v>33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f t="shared" si="13"/>
        <v>0</v>
      </c>
    </row>
    <row r="882" spans="1:34" x14ac:dyDescent="0.25">
      <c r="A882" s="1">
        <v>44792</v>
      </c>
      <c r="B882">
        <v>519</v>
      </c>
      <c r="C882">
        <v>-1.923077E-3</v>
      </c>
      <c r="D882">
        <v>693</v>
      </c>
      <c r="E882">
        <v>-1.2820513E-2</v>
      </c>
      <c r="F882">
        <v>1.0897436E-2</v>
      </c>
      <c r="G882">
        <v>1.0897436E-2</v>
      </c>
      <c r="H882">
        <v>9.2289989999999999E-3</v>
      </c>
      <c r="I882">
        <v>1.7186987000000001E-2</v>
      </c>
      <c r="J882">
        <v>1</v>
      </c>
      <c r="K882">
        <v>0</v>
      </c>
      <c r="L882">
        <v>0</v>
      </c>
      <c r="M882">
        <v>5</v>
      </c>
      <c r="N882">
        <v>8.9017341040000009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W882">
        <v>0</v>
      </c>
      <c r="X882">
        <v>0</v>
      </c>
      <c r="Y882">
        <v>0</v>
      </c>
      <c r="Z882">
        <v>1.7186987000000001E-2</v>
      </c>
      <c r="AA882">
        <v>0</v>
      </c>
      <c r="AB882" t="s">
        <v>33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f t="shared" si="13"/>
        <v>0</v>
      </c>
    </row>
    <row r="883" spans="1:34" x14ac:dyDescent="0.25">
      <c r="A883" s="1">
        <v>44795</v>
      </c>
      <c r="B883">
        <v>512</v>
      </c>
      <c r="C883">
        <v>-1.3487476E-2</v>
      </c>
      <c r="D883">
        <v>677</v>
      </c>
      <c r="E883">
        <v>-2.3088022999999999E-2</v>
      </c>
      <c r="F883">
        <v>9.6005469999999992E-3</v>
      </c>
      <c r="G883">
        <v>9.6005469999999992E-3</v>
      </c>
      <c r="H883">
        <v>8.6959099999999994E-3</v>
      </c>
      <c r="I883">
        <v>9.6399940000000007E-3</v>
      </c>
      <c r="J883">
        <v>1</v>
      </c>
      <c r="K883">
        <v>0</v>
      </c>
      <c r="L883">
        <v>0</v>
      </c>
      <c r="M883">
        <v>5</v>
      </c>
      <c r="N883">
        <v>2.2634701609999999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W883">
        <v>0</v>
      </c>
      <c r="X883">
        <v>0</v>
      </c>
      <c r="Y883">
        <v>0</v>
      </c>
      <c r="Z883">
        <v>9.6399940000000007E-3</v>
      </c>
      <c r="AA883">
        <v>0</v>
      </c>
      <c r="AB883" t="s">
        <v>33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f t="shared" si="13"/>
        <v>0</v>
      </c>
    </row>
    <row r="884" spans="1:34" x14ac:dyDescent="0.25">
      <c r="A884" s="1">
        <v>44796</v>
      </c>
      <c r="B884">
        <v>504</v>
      </c>
      <c r="C884">
        <v>-1.5625E-2</v>
      </c>
      <c r="D884">
        <v>676</v>
      </c>
      <c r="E884">
        <v>-1.477105E-3</v>
      </c>
      <c r="F884">
        <v>-1.4147895000000001E-2</v>
      </c>
      <c r="G884">
        <v>1.4147895000000001E-2</v>
      </c>
      <c r="H884">
        <v>8.5513499999999992E-3</v>
      </c>
      <c r="I884">
        <v>9.3393799999999996E-3</v>
      </c>
      <c r="J884">
        <v>0</v>
      </c>
      <c r="K884">
        <v>1</v>
      </c>
      <c r="L884">
        <v>1</v>
      </c>
      <c r="M884">
        <v>5</v>
      </c>
      <c r="N884">
        <v>0.126796558</v>
      </c>
      <c r="O884">
        <v>1</v>
      </c>
      <c r="P884">
        <v>-5</v>
      </c>
      <c r="Q884">
        <v>6</v>
      </c>
      <c r="R884">
        <v>-504</v>
      </c>
      <c r="S884">
        <v>3380</v>
      </c>
      <c r="T884">
        <v>0</v>
      </c>
      <c r="U884">
        <v>0</v>
      </c>
      <c r="V884" t="s">
        <v>34</v>
      </c>
      <c r="W884">
        <v>-504</v>
      </c>
      <c r="X884">
        <v>3380</v>
      </c>
      <c r="Y884">
        <v>0</v>
      </c>
      <c r="Z884">
        <v>9.3393799999999996E-3</v>
      </c>
      <c r="AA884">
        <v>3884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3884</v>
      </c>
      <c r="AH884">
        <f t="shared" si="13"/>
        <v>0</v>
      </c>
    </row>
    <row r="885" spans="1:34" x14ac:dyDescent="0.25">
      <c r="A885" s="1">
        <v>44797</v>
      </c>
      <c r="B885">
        <v>503</v>
      </c>
      <c r="C885">
        <v>-1.984127E-3</v>
      </c>
      <c r="D885">
        <v>667</v>
      </c>
      <c r="E885">
        <v>-1.3313609000000001E-2</v>
      </c>
      <c r="F885">
        <v>1.1329482E-2</v>
      </c>
      <c r="G885">
        <v>1.1329482E-2</v>
      </c>
      <c r="H885">
        <v>6.7330510000000003E-3</v>
      </c>
      <c r="I885">
        <v>9.1589429999999993E-3</v>
      </c>
      <c r="J885">
        <v>1</v>
      </c>
      <c r="K885">
        <v>0</v>
      </c>
      <c r="L885">
        <v>-1</v>
      </c>
      <c r="M885">
        <v>5</v>
      </c>
      <c r="N885">
        <v>8.8978319429999999</v>
      </c>
      <c r="O885">
        <v>-1</v>
      </c>
      <c r="P885">
        <v>5</v>
      </c>
      <c r="Q885">
        <v>6</v>
      </c>
      <c r="R885">
        <v>503</v>
      </c>
      <c r="S885">
        <v>-3335</v>
      </c>
      <c r="T885">
        <v>-1</v>
      </c>
      <c r="U885">
        <v>45</v>
      </c>
      <c r="V885" t="s">
        <v>35</v>
      </c>
      <c r="W885">
        <v>503</v>
      </c>
      <c r="X885">
        <v>-3335</v>
      </c>
      <c r="Y885">
        <v>44</v>
      </c>
      <c r="Z885">
        <v>9.1589429999999993E-3</v>
      </c>
      <c r="AA885">
        <v>3838</v>
      </c>
      <c r="AB885">
        <v>0</v>
      </c>
      <c r="AC885">
        <v>44</v>
      </c>
      <c r="AD885">
        <v>1.1464304E-2</v>
      </c>
      <c r="AE885">
        <v>0</v>
      </c>
      <c r="AF885">
        <v>44</v>
      </c>
      <c r="AG885">
        <v>0</v>
      </c>
      <c r="AH885">
        <f t="shared" si="13"/>
        <v>1.1464304325169358E-2</v>
      </c>
    </row>
    <row r="886" spans="1:34" x14ac:dyDescent="0.25">
      <c r="A886" s="1">
        <v>44798</v>
      </c>
      <c r="B886">
        <v>508</v>
      </c>
      <c r="C886">
        <v>9.9403579999999998E-3</v>
      </c>
      <c r="D886">
        <v>670</v>
      </c>
      <c r="E886">
        <v>4.4977510000000004E-3</v>
      </c>
      <c r="F886">
        <v>5.4426070000000003E-3</v>
      </c>
      <c r="G886">
        <v>5.4426070000000003E-3</v>
      </c>
      <c r="H886">
        <v>1.0319488E-2</v>
      </c>
      <c r="I886">
        <v>1.0841707000000001E-2</v>
      </c>
      <c r="J886">
        <v>1</v>
      </c>
      <c r="K886">
        <v>0</v>
      </c>
      <c r="L886">
        <v>0</v>
      </c>
      <c r="M886">
        <v>5</v>
      </c>
      <c r="N886">
        <v>0.59676657700000002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W886">
        <v>0</v>
      </c>
      <c r="X886">
        <v>0</v>
      </c>
      <c r="Y886">
        <v>0</v>
      </c>
      <c r="Z886">
        <v>1.0841707000000001E-2</v>
      </c>
      <c r="AA886">
        <v>0</v>
      </c>
      <c r="AB886" t="s">
        <v>33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f t="shared" si="13"/>
        <v>0</v>
      </c>
    </row>
    <row r="887" spans="1:34" x14ac:dyDescent="0.25">
      <c r="A887" s="1">
        <v>44799</v>
      </c>
      <c r="B887">
        <v>512</v>
      </c>
      <c r="C887">
        <v>7.8740159999999993E-3</v>
      </c>
      <c r="D887">
        <v>678</v>
      </c>
      <c r="E887">
        <v>1.1940299E-2</v>
      </c>
      <c r="F887">
        <v>-4.0662830000000004E-3</v>
      </c>
      <c r="G887">
        <v>4.0662830000000004E-3</v>
      </c>
      <c r="H887">
        <v>1.1784701E-2</v>
      </c>
      <c r="I887">
        <v>1.3994202000000001E-2</v>
      </c>
      <c r="J887">
        <v>0</v>
      </c>
      <c r="K887">
        <v>0</v>
      </c>
      <c r="L887">
        <v>0</v>
      </c>
      <c r="M887">
        <v>5</v>
      </c>
      <c r="N887">
        <v>2.0080690300000001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W887">
        <v>0</v>
      </c>
      <c r="X887">
        <v>0</v>
      </c>
      <c r="Y887">
        <v>0</v>
      </c>
      <c r="Z887">
        <v>1.3994202000000001E-2</v>
      </c>
      <c r="AA887">
        <v>0</v>
      </c>
      <c r="AB887" t="s">
        <v>33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f t="shared" si="13"/>
        <v>0</v>
      </c>
    </row>
    <row r="888" spans="1:34" x14ac:dyDescent="0.25">
      <c r="A888" s="1">
        <v>44802</v>
      </c>
      <c r="B888">
        <v>498.5</v>
      </c>
      <c r="C888">
        <v>-2.6367188E-2</v>
      </c>
      <c r="D888">
        <v>653</v>
      </c>
      <c r="E888">
        <v>-3.6873155999999997E-2</v>
      </c>
      <c r="F888">
        <v>1.0505969E-2</v>
      </c>
      <c r="G888">
        <v>1.0505969E-2</v>
      </c>
      <c r="H888">
        <v>1.555014E-2</v>
      </c>
      <c r="I888">
        <v>1.906366E-2</v>
      </c>
      <c r="J888">
        <v>1</v>
      </c>
      <c r="K888">
        <v>0</v>
      </c>
      <c r="L888">
        <v>0</v>
      </c>
      <c r="M888">
        <v>5</v>
      </c>
      <c r="N888">
        <v>1.831869475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W888">
        <v>0</v>
      </c>
      <c r="X888">
        <v>0</v>
      </c>
      <c r="Y888">
        <v>0</v>
      </c>
      <c r="Z888">
        <v>1.906366E-2</v>
      </c>
      <c r="AA888">
        <v>0</v>
      </c>
      <c r="AB888" t="s">
        <v>33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f t="shared" si="13"/>
        <v>0</v>
      </c>
    </row>
    <row r="889" spans="1:34" x14ac:dyDescent="0.25">
      <c r="A889" s="1">
        <v>44803</v>
      </c>
      <c r="B889">
        <v>496</v>
      </c>
      <c r="C889">
        <v>-5.0150450000000001E-3</v>
      </c>
      <c r="D889">
        <v>657</v>
      </c>
      <c r="E889">
        <v>6.1255739999999999E-3</v>
      </c>
      <c r="F889">
        <v>-1.1140618999999999E-2</v>
      </c>
      <c r="G889">
        <v>1.1140618999999999E-2</v>
      </c>
      <c r="H889">
        <v>1.446335E-2</v>
      </c>
      <c r="I889">
        <v>1.9903501000000001E-2</v>
      </c>
      <c r="J889">
        <v>0</v>
      </c>
      <c r="K889">
        <v>0</v>
      </c>
      <c r="L889">
        <v>0</v>
      </c>
      <c r="M889">
        <v>5</v>
      </c>
      <c r="N889">
        <v>1.6179148350000001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W889">
        <v>0</v>
      </c>
      <c r="X889">
        <v>0</v>
      </c>
      <c r="Y889">
        <v>0</v>
      </c>
      <c r="Z889">
        <v>1.9903501000000001E-2</v>
      </c>
      <c r="AA889">
        <v>0</v>
      </c>
      <c r="AB889" t="s">
        <v>33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f t="shared" si="13"/>
        <v>0</v>
      </c>
    </row>
    <row r="890" spans="1:34" x14ac:dyDescent="0.25">
      <c r="A890" s="1">
        <v>44804</v>
      </c>
      <c r="B890">
        <v>505</v>
      </c>
      <c r="C890">
        <v>1.8145161E-2</v>
      </c>
      <c r="D890">
        <v>667</v>
      </c>
      <c r="E890">
        <v>1.52207E-2</v>
      </c>
      <c r="F890">
        <v>2.9244610000000002E-3</v>
      </c>
      <c r="G890">
        <v>2.9244610000000002E-3</v>
      </c>
      <c r="H890">
        <v>1.7365531E-2</v>
      </c>
      <c r="I890">
        <v>2.1162799999999999E-2</v>
      </c>
      <c r="J890">
        <v>1</v>
      </c>
      <c r="K890">
        <v>0</v>
      </c>
      <c r="L890">
        <v>0</v>
      </c>
      <c r="M890">
        <v>5</v>
      </c>
      <c r="N890">
        <v>1.1079196200000001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W890">
        <v>0</v>
      </c>
      <c r="X890">
        <v>0</v>
      </c>
      <c r="Y890">
        <v>0</v>
      </c>
      <c r="Z890">
        <v>2.1162799999999999E-2</v>
      </c>
      <c r="AA890">
        <v>0</v>
      </c>
      <c r="AB890" t="s">
        <v>33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f t="shared" si="13"/>
        <v>0</v>
      </c>
    </row>
    <row r="891" spans="1:34" x14ac:dyDescent="0.25">
      <c r="A891" s="1">
        <v>44805</v>
      </c>
      <c r="B891">
        <v>490.5</v>
      </c>
      <c r="C891">
        <v>-2.8712871000000001E-2</v>
      </c>
      <c r="D891">
        <v>648</v>
      </c>
      <c r="E891">
        <v>-2.8485757E-2</v>
      </c>
      <c r="F891">
        <v>-2.2711399999999999E-4</v>
      </c>
      <c r="G891">
        <v>2.2711399999999999E-4</v>
      </c>
      <c r="H891">
        <v>2.0638686E-2</v>
      </c>
      <c r="I891">
        <v>2.4377777E-2</v>
      </c>
      <c r="J891">
        <v>0</v>
      </c>
      <c r="K891">
        <v>0</v>
      </c>
      <c r="L891">
        <v>0</v>
      </c>
      <c r="M891">
        <v>5</v>
      </c>
      <c r="N891">
        <v>1.310651223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W891">
        <v>0</v>
      </c>
      <c r="X891">
        <v>0</v>
      </c>
      <c r="Y891">
        <v>0</v>
      </c>
      <c r="Z891">
        <v>2.4377777E-2</v>
      </c>
      <c r="AA891">
        <v>0</v>
      </c>
      <c r="AB891" t="s">
        <v>33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f t="shared" si="13"/>
        <v>0</v>
      </c>
    </row>
    <row r="892" spans="1:34" x14ac:dyDescent="0.25">
      <c r="A892" s="1">
        <v>44806</v>
      </c>
      <c r="B892">
        <v>485</v>
      </c>
      <c r="C892">
        <v>-1.1213048E-2</v>
      </c>
      <c r="D892">
        <v>620</v>
      </c>
      <c r="E892">
        <v>-4.3209877000000001E-2</v>
      </c>
      <c r="F892">
        <v>3.1996828999999997E-2</v>
      </c>
      <c r="G892">
        <v>3.1996828999999997E-2</v>
      </c>
      <c r="H892">
        <v>1.8937573999999999E-2</v>
      </c>
      <c r="I892">
        <v>2.6390341000000001E-2</v>
      </c>
      <c r="J892">
        <v>1</v>
      </c>
      <c r="K892">
        <v>1</v>
      </c>
      <c r="L892">
        <v>1</v>
      </c>
      <c r="M892">
        <v>5</v>
      </c>
      <c r="N892">
        <v>4.926168906</v>
      </c>
      <c r="O892">
        <v>-25</v>
      </c>
      <c r="P892">
        <v>5</v>
      </c>
      <c r="Q892">
        <v>30</v>
      </c>
      <c r="R892">
        <v>12125</v>
      </c>
      <c r="S892">
        <v>-3100</v>
      </c>
      <c r="T892">
        <v>0</v>
      </c>
      <c r="U892">
        <v>0</v>
      </c>
      <c r="V892" t="s">
        <v>34</v>
      </c>
      <c r="W892">
        <v>12125</v>
      </c>
      <c r="X892">
        <v>-3100</v>
      </c>
      <c r="Y892">
        <v>0</v>
      </c>
      <c r="Z892">
        <v>2.6390341000000001E-2</v>
      </c>
      <c r="AA892">
        <v>15225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15225</v>
      </c>
      <c r="AH892">
        <f t="shared" si="13"/>
        <v>0</v>
      </c>
    </row>
    <row r="893" spans="1:34" x14ac:dyDescent="0.25">
      <c r="A893" s="1">
        <v>44809</v>
      </c>
      <c r="B893">
        <v>486</v>
      </c>
      <c r="C893">
        <v>2.0618559999999999E-3</v>
      </c>
      <c r="D893">
        <v>631</v>
      </c>
      <c r="E893">
        <v>1.7741935E-2</v>
      </c>
      <c r="F893">
        <v>-1.5680079999999999E-2</v>
      </c>
      <c r="G893">
        <v>1.5680079999999999E-2</v>
      </c>
      <c r="H893">
        <v>1.722249E-2</v>
      </c>
      <c r="I893">
        <v>2.7612731000000001E-2</v>
      </c>
      <c r="J893">
        <v>0</v>
      </c>
      <c r="K893">
        <v>0</v>
      </c>
      <c r="L893">
        <v>-1</v>
      </c>
      <c r="M893">
        <v>5</v>
      </c>
      <c r="N893">
        <v>11.172125980000001</v>
      </c>
      <c r="O893">
        <v>25</v>
      </c>
      <c r="P893">
        <v>-5</v>
      </c>
      <c r="Q893">
        <v>30</v>
      </c>
      <c r="R893">
        <v>-12150</v>
      </c>
      <c r="S893">
        <v>3155</v>
      </c>
      <c r="T893">
        <v>-25</v>
      </c>
      <c r="U893">
        <v>55</v>
      </c>
      <c r="V893" t="s">
        <v>35</v>
      </c>
      <c r="W893">
        <v>-12150</v>
      </c>
      <c r="X893">
        <v>3155</v>
      </c>
      <c r="Y893">
        <v>30</v>
      </c>
      <c r="Z893">
        <v>2.7612731000000001E-2</v>
      </c>
      <c r="AA893">
        <v>15305</v>
      </c>
      <c r="AB893">
        <v>0</v>
      </c>
      <c r="AC893">
        <v>30</v>
      </c>
      <c r="AD893">
        <v>1.960144E-3</v>
      </c>
      <c r="AE893">
        <v>0</v>
      </c>
      <c r="AF893">
        <v>30</v>
      </c>
      <c r="AG893">
        <v>0</v>
      </c>
      <c r="AH893">
        <f t="shared" si="13"/>
        <v>1.9601437438745506E-3</v>
      </c>
    </row>
    <row r="894" spans="1:34" x14ac:dyDescent="0.25">
      <c r="A894" s="1">
        <v>44810</v>
      </c>
      <c r="B894">
        <v>489</v>
      </c>
      <c r="C894">
        <v>6.1728399999999998E-3</v>
      </c>
      <c r="D894">
        <v>629</v>
      </c>
      <c r="E894">
        <v>-3.1695719999999998E-3</v>
      </c>
      <c r="F894">
        <v>9.3424119999999996E-3</v>
      </c>
      <c r="G894">
        <v>9.3424119999999996E-3</v>
      </c>
      <c r="H894">
        <v>1.7923897000000001E-2</v>
      </c>
      <c r="I894">
        <v>2.6850786000000001E-2</v>
      </c>
      <c r="J894">
        <v>1</v>
      </c>
      <c r="K894">
        <v>0</v>
      </c>
      <c r="L894">
        <v>0</v>
      </c>
      <c r="M894">
        <v>5</v>
      </c>
      <c r="N894">
        <v>0.660476603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W894">
        <v>0</v>
      </c>
      <c r="X894">
        <v>0</v>
      </c>
      <c r="Y894">
        <v>0</v>
      </c>
      <c r="Z894">
        <v>2.6850786000000001E-2</v>
      </c>
      <c r="AA894">
        <v>0</v>
      </c>
      <c r="AB894" t="s">
        <v>33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f t="shared" si="13"/>
        <v>0</v>
      </c>
    </row>
    <row r="895" spans="1:34" x14ac:dyDescent="0.25">
      <c r="A895" s="1">
        <v>44811</v>
      </c>
      <c r="B895">
        <v>472.5</v>
      </c>
      <c r="C895">
        <v>-3.3742331E-2</v>
      </c>
      <c r="D895">
        <v>619</v>
      </c>
      <c r="E895">
        <v>-1.5898250999999999E-2</v>
      </c>
      <c r="F895">
        <v>-1.7844079999999998E-2</v>
      </c>
      <c r="G895">
        <v>1.7844079999999998E-2</v>
      </c>
      <c r="H895">
        <v>1.7851830999999999E-2</v>
      </c>
      <c r="I895">
        <v>2.3397009E-2</v>
      </c>
      <c r="J895">
        <v>0</v>
      </c>
      <c r="K895">
        <v>0</v>
      </c>
      <c r="L895">
        <v>0</v>
      </c>
      <c r="M895">
        <v>5</v>
      </c>
      <c r="N895">
        <v>0.61725285299999999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W895">
        <v>0</v>
      </c>
      <c r="X895">
        <v>0</v>
      </c>
      <c r="Y895">
        <v>0</v>
      </c>
      <c r="Z895">
        <v>2.3397009E-2</v>
      </c>
      <c r="AA895">
        <v>0</v>
      </c>
      <c r="AB895" t="s">
        <v>33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f t="shared" si="13"/>
        <v>0</v>
      </c>
    </row>
    <row r="896" spans="1:34" x14ac:dyDescent="0.25">
      <c r="A896" s="1">
        <v>44812</v>
      </c>
      <c r="B896">
        <v>475</v>
      </c>
      <c r="C896">
        <v>5.2910049999999997E-3</v>
      </c>
      <c r="D896">
        <v>623</v>
      </c>
      <c r="E896">
        <v>6.462036E-3</v>
      </c>
      <c r="F896">
        <v>-1.17103E-3</v>
      </c>
      <c r="G896">
        <v>1.17103E-3</v>
      </c>
      <c r="H896">
        <v>1.6860178E-2</v>
      </c>
      <c r="I896">
        <v>2.3433451000000001E-2</v>
      </c>
      <c r="J896">
        <v>0</v>
      </c>
      <c r="K896">
        <v>0</v>
      </c>
      <c r="L896">
        <v>0</v>
      </c>
      <c r="M896">
        <v>5</v>
      </c>
      <c r="N896">
        <v>1.6018637870000001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W896">
        <v>0</v>
      </c>
      <c r="X896">
        <v>0</v>
      </c>
      <c r="Y896">
        <v>0</v>
      </c>
      <c r="Z896">
        <v>2.3433451000000001E-2</v>
      </c>
      <c r="AA896">
        <v>0</v>
      </c>
      <c r="AB896" t="s">
        <v>33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f t="shared" si="13"/>
        <v>0</v>
      </c>
    </row>
    <row r="897" spans="1:34" x14ac:dyDescent="0.25">
      <c r="A897" s="1">
        <v>44816</v>
      </c>
      <c r="B897">
        <v>486.5</v>
      </c>
      <c r="C897">
        <v>2.4210526E-2</v>
      </c>
      <c r="D897">
        <v>627</v>
      </c>
      <c r="E897">
        <v>6.4205460000000001E-3</v>
      </c>
      <c r="F897">
        <v>1.7789981E-2</v>
      </c>
      <c r="G897">
        <v>1.7789981E-2</v>
      </c>
      <c r="H897">
        <v>2.1165149000000001E-2</v>
      </c>
      <c r="I897">
        <v>1.2588156E-2</v>
      </c>
      <c r="J897">
        <v>1</v>
      </c>
      <c r="K897">
        <v>0</v>
      </c>
      <c r="L897">
        <v>0</v>
      </c>
      <c r="M897">
        <v>5</v>
      </c>
      <c r="N897">
        <v>0.341784537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W897">
        <v>0</v>
      </c>
      <c r="X897">
        <v>0</v>
      </c>
      <c r="Y897">
        <v>0</v>
      </c>
      <c r="Z897">
        <v>2.1165149000000001E-2</v>
      </c>
      <c r="AA897">
        <v>0</v>
      </c>
      <c r="AB897" t="s">
        <v>33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f t="shared" si="13"/>
        <v>0</v>
      </c>
    </row>
    <row r="898" spans="1:34" x14ac:dyDescent="0.25">
      <c r="A898" s="1">
        <v>44817</v>
      </c>
      <c r="B898">
        <v>493</v>
      </c>
      <c r="C898">
        <v>1.3360739999999999E-2</v>
      </c>
      <c r="D898">
        <v>626</v>
      </c>
      <c r="E898">
        <v>-1.5948959999999999E-3</v>
      </c>
      <c r="F898">
        <v>1.4955636E-2</v>
      </c>
      <c r="G898">
        <v>1.4955636E-2</v>
      </c>
      <c r="H898">
        <v>2.1923325E-2</v>
      </c>
      <c r="I898">
        <v>9.1681439999999996E-3</v>
      </c>
      <c r="J898">
        <v>1</v>
      </c>
      <c r="K898">
        <v>0</v>
      </c>
      <c r="L898">
        <v>0</v>
      </c>
      <c r="M898">
        <v>5</v>
      </c>
      <c r="N898">
        <v>0.15157562299999999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W898">
        <v>0</v>
      </c>
      <c r="X898">
        <v>0</v>
      </c>
      <c r="Y898">
        <v>0</v>
      </c>
      <c r="Z898">
        <v>2.1923325E-2</v>
      </c>
      <c r="AA898">
        <v>0</v>
      </c>
      <c r="AB898" t="s">
        <v>33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f t="shared" si="13"/>
        <v>0</v>
      </c>
    </row>
    <row r="899" spans="1:34" x14ac:dyDescent="0.25">
      <c r="A899" s="1">
        <v>44818</v>
      </c>
      <c r="B899">
        <v>480</v>
      </c>
      <c r="C899">
        <v>-2.6369167999999998E-2</v>
      </c>
      <c r="D899">
        <v>615</v>
      </c>
      <c r="E899">
        <v>-1.7571884999999999E-2</v>
      </c>
      <c r="F899">
        <v>-8.7972829999999995E-3</v>
      </c>
      <c r="G899">
        <v>8.7972829999999995E-3</v>
      </c>
      <c r="H899">
        <v>2.5332905999999999E-2</v>
      </c>
      <c r="I899">
        <v>1.1711515E-2</v>
      </c>
      <c r="J899">
        <v>0</v>
      </c>
      <c r="K899">
        <v>0</v>
      </c>
      <c r="L899">
        <v>0</v>
      </c>
      <c r="M899">
        <v>5</v>
      </c>
      <c r="N899">
        <v>0.85379930599999998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W899">
        <v>0</v>
      </c>
      <c r="X899">
        <v>0</v>
      </c>
      <c r="Y899">
        <v>0</v>
      </c>
      <c r="Z899">
        <v>2.5332905999999999E-2</v>
      </c>
      <c r="AA899">
        <v>0</v>
      </c>
      <c r="AB899" t="s">
        <v>33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f t="shared" ref="AH899:AH962" si="14">IF(AF899&lt;&gt;0,AF899/AA899,0)</f>
        <v>0</v>
      </c>
    </row>
    <row r="900" spans="1:34" x14ac:dyDescent="0.25">
      <c r="A900" s="1">
        <v>44819</v>
      </c>
      <c r="B900">
        <v>476.5</v>
      </c>
      <c r="C900">
        <v>-7.2916669999999999E-3</v>
      </c>
      <c r="D900">
        <v>616</v>
      </c>
      <c r="E900">
        <v>1.6260160000000001E-3</v>
      </c>
      <c r="F900">
        <v>-8.9176829999999992E-3</v>
      </c>
      <c r="G900">
        <v>8.9176829999999992E-3</v>
      </c>
      <c r="H900">
        <v>1.9520642000000001E-2</v>
      </c>
      <c r="I900">
        <v>9.9070719999999994E-3</v>
      </c>
      <c r="J900">
        <v>0</v>
      </c>
      <c r="K900">
        <v>0</v>
      </c>
      <c r="L900">
        <v>0</v>
      </c>
      <c r="M900">
        <v>5</v>
      </c>
      <c r="N900">
        <v>0.28828091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W900">
        <v>0</v>
      </c>
      <c r="X900">
        <v>0</v>
      </c>
      <c r="Y900">
        <v>0</v>
      </c>
      <c r="Z900">
        <v>1.9520642000000001E-2</v>
      </c>
      <c r="AA900">
        <v>0</v>
      </c>
      <c r="AB900" t="s">
        <v>33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f t="shared" si="14"/>
        <v>0</v>
      </c>
    </row>
    <row r="901" spans="1:34" x14ac:dyDescent="0.25">
      <c r="A901" s="1">
        <v>44820</v>
      </c>
      <c r="B901">
        <v>472</v>
      </c>
      <c r="C901">
        <v>-9.4438609999999996E-3</v>
      </c>
      <c r="D901">
        <v>600</v>
      </c>
      <c r="E901">
        <v>-2.5974026000000001E-2</v>
      </c>
      <c r="F901">
        <v>1.6530164E-2</v>
      </c>
      <c r="G901">
        <v>1.6530164E-2</v>
      </c>
      <c r="H901">
        <v>1.9976381000000001E-2</v>
      </c>
      <c r="I901">
        <v>1.3735315999999999E-2</v>
      </c>
      <c r="J901">
        <v>1</v>
      </c>
      <c r="K901">
        <v>0</v>
      </c>
      <c r="L901">
        <v>0</v>
      </c>
      <c r="M901">
        <v>5</v>
      </c>
      <c r="N901">
        <v>3.4962212930000001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W901">
        <v>0</v>
      </c>
      <c r="X901">
        <v>0</v>
      </c>
      <c r="Y901">
        <v>0</v>
      </c>
      <c r="Z901">
        <v>1.9976381000000001E-2</v>
      </c>
      <c r="AA901">
        <v>0</v>
      </c>
      <c r="AB901" t="s">
        <v>33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f t="shared" si="14"/>
        <v>0</v>
      </c>
    </row>
    <row r="902" spans="1:34" x14ac:dyDescent="0.25">
      <c r="A902" s="1">
        <v>44823</v>
      </c>
      <c r="B902">
        <v>467</v>
      </c>
      <c r="C902">
        <v>-1.059322E-2</v>
      </c>
      <c r="D902">
        <v>604</v>
      </c>
      <c r="E902">
        <v>6.6666670000000003E-3</v>
      </c>
      <c r="F902">
        <v>-1.7259887000000002E-2</v>
      </c>
      <c r="G902">
        <v>1.7259887000000002E-2</v>
      </c>
      <c r="H902">
        <v>1.4168593E-2</v>
      </c>
      <c r="I902">
        <v>1.3797612000000001E-2</v>
      </c>
      <c r="J902">
        <v>0</v>
      </c>
      <c r="K902">
        <v>1</v>
      </c>
      <c r="L902">
        <v>1</v>
      </c>
      <c r="M902">
        <v>5</v>
      </c>
      <c r="N902">
        <v>0.81395574599999998</v>
      </c>
      <c r="O902">
        <v>5</v>
      </c>
      <c r="P902">
        <v>-5</v>
      </c>
      <c r="Q902">
        <v>10</v>
      </c>
      <c r="R902">
        <v>-2335</v>
      </c>
      <c r="S902">
        <v>3020</v>
      </c>
      <c r="T902">
        <v>0</v>
      </c>
      <c r="U902">
        <v>0</v>
      </c>
      <c r="V902" t="s">
        <v>34</v>
      </c>
      <c r="W902">
        <v>-2335</v>
      </c>
      <c r="X902">
        <v>3020</v>
      </c>
      <c r="Y902">
        <v>0</v>
      </c>
      <c r="Z902">
        <v>1.4168593E-2</v>
      </c>
      <c r="AA902">
        <v>5355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5355</v>
      </c>
      <c r="AH902">
        <f t="shared" si="14"/>
        <v>0</v>
      </c>
    </row>
    <row r="903" spans="1:34" x14ac:dyDescent="0.25">
      <c r="A903" s="1">
        <v>44824</v>
      </c>
      <c r="B903">
        <v>476.5</v>
      </c>
      <c r="C903">
        <v>2.0342612E-2</v>
      </c>
      <c r="D903">
        <v>605</v>
      </c>
      <c r="E903">
        <v>1.655629E-3</v>
      </c>
      <c r="F903">
        <v>1.8686983000000001E-2</v>
      </c>
      <c r="G903">
        <v>1.8686983000000001E-2</v>
      </c>
      <c r="H903">
        <v>1.6890907E-2</v>
      </c>
      <c r="I903">
        <v>1.4208192E-2</v>
      </c>
      <c r="J903">
        <v>1</v>
      </c>
      <c r="K903">
        <v>0</v>
      </c>
      <c r="L903">
        <v>-1</v>
      </c>
      <c r="M903">
        <v>5</v>
      </c>
      <c r="N903">
        <v>0.10333532400000001</v>
      </c>
      <c r="O903">
        <v>-5</v>
      </c>
      <c r="P903">
        <v>5</v>
      </c>
      <c r="Q903">
        <v>10</v>
      </c>
      <c r="R903">
        <v>2382.5</v>
      </c>
      <c r="S903">
        <v>-3025</v>
      </c>
      <c r="T903">
        <v>47.5</v>
      </c>
      <c r="U903">
        <v>-5</v>
      </c>
      <c r="V903" t="s">
        <v>35</v>
      </c>
      <c r="W903">
        <v>2382.5</v>
      </c>
      <c r="X903">
        <v>-3025</v>
      </c>
      <c r="Y903">
        <v>42.5</v>
      </c>
      <c r="Z903">
        <v>1.6890907E-2</v>
      </c>
      <c r="AA903">
        <v>5407.5</v>
      </c>
      <c r="AB903">
        <v>0</v>
      </c>
      <c r="AC903">
        <v>42.5</v>
      </c>
      <c r="AD903">
        <v>7.8594540000000001E-3</v>
      </c>
      <c r="AE903">
        <v>0</v>
      </c>
      <c r="AF903">
        <v>42.5</v>
      </c>
      <c r="AG903">
        <v>0</v>
      </c>
      <c r="AH903">
        <f t="shared" si="14"/>
        <v>7.8594544613962095E-3</v>
      </c>
    </row>
    <row r="904" spans="1:34" x14ac:dyDescent="0.25">
      <c r="A904" s="1">
        <v>44825</v>
      </c>
      <c r="B904">
        <v>471</v>
      </c>
      <c r="C904">
        <v>-1.1542497000000001E-2</v>
      </c>
      <c r="D904">
        <v>605</v>
      </c>
      <c r="E904">
        <v>0</v>
      </c>
      <c r="F904">
        <v>-1.1542497000000001E-2</v>
      </c>
      <c r="G904">
        <v>1.1542497000000001E-2</v>
      </c>
      <c r="H904">
        <v>1.3536619999999999E-2</v>
      </c>
      <c r="I904">
        <v>1.2972228000000001E-2</v>
      </c>
      <c r="J904">
        <v>0</v>
      </c>
      <c r="K904">
        <v>0</v>
      </c>
      <c r="L904">
        <v>0</v>
      </c>
      <c r="M904">
        <v>5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W904">
        <v>0</v>
      </c>
      <c r="X904">
        <v>0</v>
      </c>
      <c r="Y904">
        <v>0</v>
      </c>
      <c r="Z904">
        <v>1.3536619999999999E-2</v>
      </c>
      <c r="AA904">
        <v>0</v>
      </c>
      <c r="AB904" t="s">
        <v>33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f t="shared" si="14"/>
        <v>0</v>
      </c>
    </row>
    <row r="905" spans="1:34" x14ac:dyDescent="0.25">
      <c r="A905" s="1">
        <v>44826</v>
      </c>
      <c r="B905">
        <v>464.5</v>
      </c>
      <c r="C905">
        <v>-1.3800425E-2</v>
      </c>
      <c r="D905">
        <v>591</v>
      </c>
      <c r="E905">
        <v>-2.3140496E-2</v>
      </c>
      <c r="F905">
        <v>9.3400710000000001E-3</v>
      </c>
      <c r="G905">
        <v>9.3400710000000001E-3</v>
      </c>
      <c r="H905">
        <v>1.4261237E-2</v>
      </c>
      <c r="I905">
        <v>1.5202935000000001E-2</v>
      </c>
      <c r="J905">
        <v>1</v>
      </c>
      <c r="K905">
        <v>0</v>
      </c>
      <c r="L905">
        <v>0</v>
      </c>
      <c r="M905">
        <v>5</v>
      </c>
      <c r="N905">
        <v>2.1334475679999998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W905">
        <v>0</v>
      </c>
      <c r="X905">
        <v>0</v>
      </c>
      <c r="Y905">
        <v>0</v>
      </c>
      <c r="Z905">
        <v>1.5202935000000001E-2</v>
      </c>
      <c r="AA905">
        <v>0</v>
      </c>
      <c r="AB905" t="s">
        <v>33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f t="shared" si="14"/>
        <v>0</v>
      </c>
    </row>
    <row r="906" spans="1:34" x14ac:dyDescent="0.25">
      <c r="A906" s="1">
        <v>44827</v>
      </c>
      <c r="B906">
        <v>455</v>
      </c>
      <c r="C906">
        <v>-2.0452099000000001E-2</v>
      </c>
      <c r="D906">
        <v>580</v>
      </c>
      <c r="E906">
        <v>-1.8612521E-2</v>
      </c>
      <c r="F906">
        <v>-1.8395779999999999E-3</v>
      </c>
      <c r="G906">
        <v>1.8395779999999999E-3</v>
      </c>
      <c r="H906">
        <v>1.5875688999999998E-2</v>
      </c>
      <c r="I906">
        <v>1.3281296999999999E-2</v>
      </c>
      <c r="J906">
        <v>0</v>
      </c>
      <c r="K906">
        <v>0</v>
      </c>
      <c r="L906">
        <v>0</v>
      </c>
      <c r="M906">
        <v>5</v>
      </c>
      <c r="N906">
        <v>1.1600692480000001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W906">
        <v>0</v>
      </c>
      <c r="X906">
        <v>0</v>
      </c>
      <c r="Y906">
        <v>0</v>
      </c>
      <c r="Z906">
        <v>1.5875688999999998E-2</v>
      </c>
      <c r="AA906">
        <v>0</v>
      </c>
      <c r="AB906" t="s">
        <v>33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f t="shared" si="14"/>
        <v>0</v>
      </c>
    </row>
    <row r="907" spans="1:34" x14ac:dyDescent="0.25">
      <c r="A907" s="1">
        <v>44830</v>
      </c>
      <c r="B907">
        <v>446.5</v>
      </c>
      <c r="C907">
        <v>-1.8681318999999998E-2</v>
      </c>
      <c r="D907">
        <v>569</v>
      </c>
      <c r="E907">
        <v>-1.8965517000000001E-2</v>
      </c>
      <c r="F907">
        <v>2.8419900000000001E-4</v>
      </c>
      <c r="G907">
        <v>2.8419900000000001E-4</v>
      </c>
      <c r="H907">
        <v>1.6697498000000002E-2</v>
      </c>
      <c r="I907">
        <v>1.1690328E-2</v>
      </c>
      <c r="J907">
        <v>1</v>
      </c>
      <c r="K907">
        <v>0</v>
      </c>
      <c r="L907">
        <v>0</v>
      </c>
      <c r="M907">
        <v>5</v>
      </c>
      <c r="N907">
        <v>1.293742859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W907">
        <v>0</v>
      </c>
      <c r="X907">
        <v>0</v>
      </c>
      <c r="Y907">
        <v>0</v>
      </c>
      <c r="Z907">
        <v>1.6697498000000002E-2</v>
      </c>
      <c r="AA907">
        <v>0</v>
      </c>
      <c r="AB907" t="s">
        <v>33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f t="shared" si="14"/>
        <v>0</v>
      </c>
    </row>
    <row r="908" spans="1:34" x14ac:dyDescent="0.25">
      <c r="A908" s="1">
        <v>44831</v>
      </c>
      <c r="B908">
        <v>448</v>
      </c>
      <c r="C908">
        <v>3.3594620000000001E-3</v>
      </c>
      <c r="D908">
        <v>568</v>
      </c>
      <c r="E908">
        <v>-1.757469E-3</v>
      </c>
      <c r="F908">
        <v>5.1169320000000003E-3</v>
      </c>
      <c r="G908">
        <v>5.1169320000000003E-3</v>
      </c>
      <c r="H908">
        <v>9.4232750000000001E-3</v>
      </c>
      <c r="I908">
        <v>1.0770768999999999E-2</v>
      </c>
      <c r="J908">
        <v>1</v>
      </c>
      <c r="K908">
        <v>0</v>
      </c>
      <c r="L908">
        <v>0</v>
      </c>
      <c r="M908">
        <v>5</v>
      </c>
      <c r="N908">
        <v>0.66326680100000002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W908">
        <v>0</v>
      </c>
      <c r="X908">
        <v>0</v>
      </c>
      <c r="Y908">
        <v>0</v>
      </c>
      <c r="Z908">
        <v>1.0770768999999999E-2</v>
      </c>
      <c r="AA908">
        <v>0</v>
      </c>
      <c r="AB908" t="s">
        <v>33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f t="shared" si="14"/>
        <v>0</v>
      </c>
    </row>
    <row r="909" spans="1:34" x14ac:dyDescent="0.25">
      <c r="A909" s="1">
        <v>44832</v>
      </c>
      <c r="B909">
        <v>438</v>
      </c>
      <c r="C909">
        <v>-2.2321429E-2</v>
      </c>
      <c r="D909">
        <v>545</v>
      </c>
      <c r="E909">
        <v>-4.0492958000000003E-2</v>
      </c>
      <c r="F909">
        <v>1.8171528999999999E-2</v>
      </c>
      <c r="G909">
        <v>1.8171528999999999E-2</v>
      </c>
      <c r="H909">
        <v>1.0409880999999999E-2</v>
      </c>
      <c r="I909">
        <v>1.3818884E-2</v>
      </c>
      <c r="J909">
        <v>1</v>
      </c>
      <c r="K909">
        <v>1</v>
      </c>
      <c r="L909">
        <v>1</v>
      </c>
      <c r="M909">
        <v>5</v>
      </c>
      <c r="N909">
        <v>2.2572512699999998</v>
      </c>
      <c r="O909">
        <v>-12</v>
      </c>
      <c r="P909">
        <v>5</v>
      </c>
      <c r="Q909">
        <v>17</v>
      </c>
      <c r="R909">
        <v>5256</v>
      </c>
      <c r="S909">
        <v>-2725</v>
      </c>
      <c r="T909">
        <v>0</v>
      </c>
      <c r="U909">
        <v>0</v>
      </c>
      <c r="V909" t="s">
        <v>34</v>
      </c>
      <c r="W909">
        <v>5256</v>
      </c>
      <c r="X909">
        <v>-2725</v>
      </c>
      <c r="Y909">
        <v>0</v>
      </c>
      <c r="Z909">
        <v>1.3818884E-2</v>
      </c>
      <c r="AA909">
        <v>7981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7981</v>
      </c>
      <c r="AH909">
        <f t="shared" si="14"/>
        <v>0</v>
      </c>
    </row>
    <row r="910" spans="1:34" x14ac:dyDescent="0.25">
      <c r="A910" s="1">
        <v>44833</v>
      </c>
      <c r="B910">
        <v>435</v>
      </c>
      <c r="C910">
        <v>-6.8493149999999999E-3</v>
      </c>
      <c r="D910">
        <v>543</v>
      </c>
      <c r="E910">
        <v>-3.669725E-3</v>
      </c>
      <c r="F910">
        <v>-3.1795899999999999E-3</v>
      </c>
      <c r="G910">
        <v>3.1795899999999999E-3</v>
      </c>
      <c r="H910">
        <v>1.0956305E-2</v>
      </c>
      <c r="I910">
        <v>1.5556047E-2</v>
      </c>
      <c r="J910">
        <v>0</v>
      </c>
      <c r="K910">
        <v>0</v>
      </c>
      <c r="L910">
        <v>-1</v>
      </c>
      <c r="M910">
        <v>5</v>
      </c>
      <c r="N910">
        <v>0.66880101199999997</v>
      </c>
      <c r="O910">
        <v>12</v>
      </c>
      <c r="P910">
        <v>-5</v>
      </c>
      <c r="Q910">
        <v>17</v>
      </c>
      <c r="R910">
        <v>-5220</v>
      </c>
      <c r="S910">
        <v>2715</v>
      </c>
      <c r="T910">
        <v>36</v>
      </c>
      <c r="U910">
        <v>-10</v>
      </c>
      <c r="V910" t="s">
        <v>35</v>
      </c>
      <c r="W910">
        <v>-5220</v>
      </c>
      <c r="X910">
        <v>2715</v>
      </c>
      <c r="Y910">
        <v>26</v>
      </c>
      <c r="Z910">
        <v>1.5556047E-2</v>
      </c>
      <c r="AA910">
        <v>7935</v>
      </c>
      <c r="AB910">
        <v>0</v>
      </c>
      <c r="AC910">
        <v>26</v>
      </c>
      <c r="AD910">
        <v>3.2766230000000002E-3</v>
      </c>
      <c r="AE910">
        <v>0</v>
      </c>
      <c r="AF910">
        <v>26</v>
      </c>
      <c r="AG910">
        <v>0</v>
      </c>
      <c r="AH910">
        <f t="shared" si="14"/>
        <v>3.2766225582860744E-3</v>
      </c>
    </row>
    <row r="911" spans="1:34" x14ac:dyDescent="0.25">
      <c r="A911" s="1">
        <v>44834</v>
      </c>
      <c r="B911">
        <v>422</v>
      </c>
      <c r="C911">
        <v>-2.9885057E-2</v>
      </c>
      <c r="D911">
        <v>551</v>
      </c>
      <c r="E911">
        <v>1.4732965000000001E-2</v>
      </c>
      <c r="F911">
        <v>-4.4618022E-2</v>
      </c>
      <c r="G911">
        <v>4.4618022E-2</v>
      </c>
      <c r="H911">
        <v>1.3154338E-2</v>
      </c>
      <c r="I911">
        <v>2.0796199000000001E-2</v>
      </c>
      <c r="J911">
        <v>0</v>
      </c>
      <c r="K911">
        <v>1</v>
      </c>
      <c r="L911">
        <v>1</v>
      </c>
      <c r="M911">
        <v>5</v>
      </c>
      <c r="N911">
        <v>0.643687699</v>
      </c>
      <c r="O911">
        <v>4</v>
      </c>
      <c r="P911">
        <v>-5</v>
      </c>
      <c r="Q911">
        <v>9</v>
      </c>
      <c r="R911">
        <v>-1688</v>
      </c>
      <c r="S911">
        <v>2755</v>
      </c>
      <c r="T911">
        <v>0</v>
      </c>
      <c r="U911">
        <v>0</v>
      </c>
      <c r="V911" t="s">
        <v>34</v>
      </c>
      <c r="W911">
        <v>-1688</v>
      </c>
      <c r="X911">
        <v>2755</v>
      </c>
      <c r="Y911">
        <v>0</v>
      </c>
      <c r="Z911">
        <v>2.0796199000000001E-2</v>
      </c>
      <c r="AA911">
        <v>4443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4443</v>
      </c>
      <c r="AH911">
        <f t="shared" si="14"/>
        <v>0</v>
      </c>
    </row>
    <row r="912" spans="1:34" x14ac:dyDescent="0.25">
      <c r="A912" s="1">
        <v>44837</v>
      </c>
      <c r="B912">
        <v>417</v>
      </c>
      <c r="C912">
        <v>-1.1848341E-2</v>
      </c>
      <c r="D912">
        <v>548</v>
      </c>
      <c r="E912">
        <v>-5.444646E-3</v>
      </c>
      <c r="F912">
        <v>-6.403695E-3</v>
      </c>
      <c r="G912">
        <v>6.403695E-3</v>
      </c>
      <c r="H912">
        <v>1.3014303E-2</v>
      </c>
      <c r="I912">
        <v>2.0214855E-2</v>
      </c>
      <c r="J912">
        <v>0</v>
      </c>
      <c r="K912">
        <v>1</v>
      </c>
      <c r="L912">
        <v>0</v>
      </c>
      <c r="M912">
        <v>5</v>
      </c>
      <c r="N912">
        <v>0.60388828699999997</v>
      </c>
      <c r="O912">
        <v>-4</v>
      </c>
      <c r="P912">
        <v>5</v>
      </c>
      <c r="Q912">
        <v>9</v>
      </c>
      <c r="R912">
        <v>1668</v>
      </c>
      <c r="S912">
        <v>-2740</v>
      </c>
      <c r="T912">
        <v>-20</v>
      </c>
      <c r="U912">
        <v>15</v>
      </c>
      <c r="V912" t="s">
        <v>37</v>
      </c>
      <c r="W912">
        <v>0</v>
      </c>
      <c r="X912">
        <v>0</v>
      </c>
      <c r="Y912">
        <v>0</v>
      </c>
      <c r="Z912">
        <v>2.0214855E-2</v>
      </c>
      <c r="AA912">
        <v>4408</v>
      </c>
      <c r="AB912">
        <v>0</v>
      </c>
      <c r="AC912">
        <v>-5</v>
      </c>
      <c r="AD912">
        <v>-1.1343010000000001E-3</v>
      </c>
      <c r="AE912">
        <v>0</v>
      </c>
      <c r="AF912">
        <v>0</v>
      </c>
      <c r="AG912">
        <v>0</v>
      </c>
      <c r="AH912">
        <f t="shared" si="14"/>
        <v>0</v>
      </c>
    </row>
    <row r="913" spans="1:34" x14ac:dyDescent="0.25">
      <c r="A913" s="1">
        <v>44838</v>
      </c>
      <c r="B913">
        <v>429</v>
      </c>
      <c r="C913">
        <v>2.8776978000000002E-2</v>
      </c>
      <c r="D913">
        <v>573</v>
      </c>
      <c r="E913">
        <v>4.5620437999999999E-2</v>
      </c>
      <c r="F913">
        <v>-1.6843460000000001E-2</v>
      </c>
      <c r="G913">
        <v>1.6843460000000001E-2</v>
      </c>
      <c r="H913">
        <v>2.2648587000000001E-2</v>
      </c>
      <c r="I913">
        <v>3.1456237999999997E-2</v>
      </c>
      <c r="J913">
        <v>0</v>
      </c>
      <c r="K913">
        <v>1</v>
      </c>
      <c r="L913">
        <v>0</v>
      </c>
      <c r="M913">
        <v>5</v>
      </c>
      <c r="N913">
        <v>2.1174423199999999</v>
      </c>
      <c r="O913">
        <v>-4</v>
      </c>
      <c r="P913">
        <v>5</v>
      </c>
      <c r="Q913">
        <v>9</v>
      </c>
      <c r="R913">
        <v>1716</v>
      </c>
      <c r="S913">
        <v>-2865</v>
      </c>
      <c r="T913">
        <v>28</v>
      </c>
      <c r="U913">
        <v>-110</v>
      </c>
      <c r="V913" t="s">
        <v>37</v>
      </c>
      <c r="W913">
        <v>0</v>
      </c>
      <c r="X913">
        <v>0</v>
      </c>
      <c r="Y913">
        <v>0</v>
      </c>
      <c r="Z913">
        <v>3.1456237999999997E-2</v>
      </c>
      <c r="AA913">
        <v>4581</v>
      </c>
      <c r="AB913">
        <v>0</v>
      </c>
      <c r="AC913">
        <v>-82</v>
      </c>
      <c r="AD913">
        <v>-1.7900022000000002E-2</v>
      </c>
      <c r="AE913">
        <v>0</v>
      </c>
      <c r="AF913">
        <v>0</v>
      </c>
      <c r="AG913">
        <v>0</v>
      </c>
      <c r="AH913">
        <f t="shared" si="14"/>
        <v>0</v>
      </c>
    </row>
    <row r="914" spans="1:34" x14ac:dyDescent="0.25">
      <c r="A914" s="1">
        <v>44839</v>
      </c>
      <c r="B914">
        <v>445</v>
      </c>
      <c r="C914">
        <v>3.7296036999999997E-2</v>
      </c>
      <c r="D914">
        <v>599</v>
      </c>
      <c r="E914">
        <v>4.5375218000000002E-2</v>
      </c>
      <c r="F914">
        <v>-8.0791809999999995E-3</v>
      </c>
      <c r="G914">
        <v>8.0791809999999995E-3</v>
      </c>
      <c r="H914">
        <v>2.8453206000000002E-2</v>
      </c>
      <c r="I914">
        <v>2.5166661999999999E-2</v>
      </c>
      <c r="J914">
        <v>0</v>
      </c>
      <c r="K914">
        <v>1</v>
      </c>
      <c r="L914">
        <v>0</v>
      </c>
      <c r="M914">
        <v>5</v>
      </c>
      <c r="N914">
        <v>1.6376566269999999</v>
      </c>
      <c r="O914">
        <v>-4</v>
      </c>
      <c r="P914">
        <v>5</v>
      </c>
      <c r="Q914">
        <v>9</v>
      </c>
      <c r="R914">
        <v>1780</v>
      </c>
      <c r="S914">
        <v>-2995</v>
      </c>
      <c r="T914">
        <v>92</v>
      </c>
      <c r="U914">
        <v>-240</v>
      </c>
      <c r="V914" t="s">
        <v>37</v>
      </c>
      <c r="W914">
        <v>0</v>
      </c>
      <c r="X914">
        <v>0</v>
      </c>
      <c r="Y914">
        <v>0</v>
      </c>
      <c r="Z914">
        <v>2.8453206000000002E-2</v>
      </c>
      <c r="AA914">
        <v>4775</v>
      </c>
      <c r="AB914">
        <v>0</v>
      </c>
      <c r="AC914">
        <v>-148</v>
      </c>
      <c r="AD914">
        <v>-3.0994764000000001E-2</v>
      </c>
      <c r="AE914">
        <v>1</v>
      </c>
      <c r="AF914">
        <v>-148</v>
      </c>
      <c r="AG914">
        <v>0</v>
      </c>
      <c r="AH914">
        <f t="shared" si="14"/>
        <v>-3.0994764397905758E-2</v>
      </c>
    </row>
    <row r="915" spans="1:34" x14ac:dyDescent="0.25">
      <c r="A915" s="1">
        <v>44840</v>
      </c>
      <c r="B915">
        <v>451</v>
      </c>
      <c r="C915">
        <v>1.3483146E-2</v>
      </c>
      <c r="D915">
        <v>587</v>
      </c>
      <c r="E915">
        <v>-2.0033388999999999E-2</v>
      </c>
      <c r="F915">
        <v>3.3516535E-2</v>
      </c>
      <c r="G915">
        <v>3.3516535E-2</v>
      </c>
      <c r="H915">
        <v>2.8054820000000001E-2</v>
      </c>
      <c r="I915">
        <v>2.9581010000000001E-2</v>
      </c>
      <c r="J915">
        <v>1</v>
      </c>
      <c r="K915">
        <v>0</v>
      </c>
      <c r="L915">
        <v>-1</v>
      </c>
      <c r="M915">
        <v>5</v>
      </c>
      <c r="N915">
        <v>1.9338587220000001</v>
      </c>
      <c r="O915">
        <v>-4</v>
      </c>
      <c r="P915">
        <v>5</v>
      </c>
      <c r="Q915">
        <v>9</v>
      </c>
      <c r="R915">
        <v>1804</v>
      </c>
      <c r="S915">
        <v>-2935</v>
      </c>
      <c r="T915">
        <v>116</v>
      </c>
      <c r="U915">
        <v>-180</v>
      </c>
      <c r="V915" t="s">
        <v>35</v>
      </c>
      <c r="W915">
        <v>1804</v>
      </c>
      <c r="X915">
        <v>-2935</v>
      </c>
      <c r="Y915">
        <v>-64</v>
      </c>
      <c r="Z915">
        <v>2.9581010000000001E-2</v>
      </c>
      <c r="AA915">
        <v>4739</v>
      </c>
      <c r="AB915">
        <v>0</v>
      </c>
      <c r="AC915">
        <v>-64</v>
      </c>
      <c r="AD915">
        <v>-1.3504959E-2</v>
      </c>
      <c r="AE915">
        <v>0</v>
      </c>
      <c r="AF915">
        <v>0</v>
      </c>
      <c r="AG915">
        <v>0</v>
      </c>
      <c r="AH915">
        <f t="shared" si="14"/>
        <v>0</v>
      </c>
    </row>
    <row r="916" spans="1:34" x14ac:dyDescent="0.25">
      <c r="A916" s="1">
        <v>44841</v>
      </c>
      <c r="B916">
        <v>438</v>
      </c>
      <c r="C916">
        <v>-2.8824834000000001E-2</v>
      </c>
      <c r="D916">
        <v>566</v>
      </c>
      <c r="E916">
        <v>-3.5775128000000003E-2</v>
      </c>
      <c r="F916">
        <v>6.9502940000000001E-3</v>
      </c>
      <c r="G916">
        <v>6.9502940000000001E-3</v>
      </c>
      <c r="H916">
        <v>2.7702801999999999E-2</v>
      </c>
      <c r="I916">
        <v>3.7663151999999998E-2</v>
      </c>
      <c r="J916">
        <v>1</v>
      </c>
      <c r="K916">
        <v>0</v>
      </c>
      <c r="L916">
        <v>0</v>
      </c>
      <c r="M916">
        <v>5</v>
      </c>
      <c r="N916">
        <v>1.6038239839999999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W916">
        <v>0</v>
      </c>
      <c r="X916">
        <v>0</v>
      </c>
      <c r="Y916">
        <v>0</v>
      </c>
      <c r="Z916">
        <v>3.7663151999999998E-2</v>
      </c>
      <c r="AA916">
        <v>0</v>
      </c>
      <c r="AB916" t="s">
        <v>33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f t="shared" si="14"/>
        <v>0</v>
      </c>
    </row>
    <row r="917" spans="1:34" x14ac:dyDescent="0.25">
      <c r="A917" s="1">
        <v>44845</v>
      </c>
      <c r="B917">
        <v>401.5</v>
      </c>
      <c r="C917">
        <v>-8.3333332999999996E-2</v>
      </c>
      <c r="D917">
        <v>553</v>
      </c>
      <c r="E917">
        <v>-2.2968197999999999E-2</v>
      </c>
      <c r="F917">
        <v>-6.0365135E-2</v>
      </c>
      <c r="G917">
        <v>6.0365135E-2</v>
      </c>
      <c r="H917">
        <v>4.9909020999999998E-2</v>
      </c>
      <c r="I917">
        <v>3.9746097000000001E-2</v>
      </c>
      <c r="J917">
        <v>0</v>
      </c>
      <c r="K917">
        <v>1</v>
      </c>
      <c r="L917">
        <v>1</v>
      </c>
      <c r="M917">
        <v>5</v>
      </c>
      <c r="N917">
        <v>0.37961883200000002</v>
      </c>
      <c r="O917">
        <v>2</v>
      </c>
      <c r="P917">
        <v>-5</v>
      </c>
      <c r="Q917">
        <v>7</v>
      </c>
      <c r="R917">
        <v>-803</v>
      </c>
      <c r="S917">
        <v>2765</v>
      </c>
      <c r="T917">
        <v>0</v>
      </c>
      <c r="U917">
        <v>0</v>
      </c>
      <c r="V917" t="s">
        <v>34</v>
      </c>
      <c r="W917">
        <v>-803</v>
      </c>
      <c r="X917">
        <v>2765</v>
      </c>
      <c r="Y917">
        <v>0</v>
      </c>
      <c r="Z917">
        <v>4.9909020999999998E-2</v>
      </c>
      <c r="AA917">
        <v>3568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3568</v>
      </c>
      <c r="AH917">
        <f t="shared" si="14"/>
        <v>0</v>
      </c>
    </row>
    <row r="918" spans="1:34" x14ac:dyDescent="0.25">
      <c r="A918" s="1">
        <v>44846</v>
      </c>
      <c r="B918">
        <v>397.5</v>
      </c>
      <c r="C918">
        <v>-9.96264E-3</v>
      </c>
      <c r="D918">
        <v>549</v>
      </c>
      <c r="E918">
        <v>-7.2332730000000001E-3</v>
      </c>
      <c r="F918">
        <v>-2.7293669999999999E-3</v>
      </c>
      <c r="G918">
        <v>2.7293669999999999E-3</v>
      </c>
      <c r="H918">
        <v>4.5905974000000002E-2</v>
      </c>
      <c r="I918">
        <v>3.1582147999999997E-2</v>
      </c>
      <c r="J918">
        <v>0</v>
      </c>
      <c r="K918">
        <v>1</v>
      </c>
      <c r="L918">
        <v>0</v>
      </c>
      <c r="M918">
        <v>5</v>
      </c>
      <c r="N918">
        <v>1.002756832</v>
      </c>
      <c r="O918">
        <v>-2</v>
      </c>
      <c r="P918">
        <v>5</v>
      </c>
      <c r="Q918">
        <v>7</v>
      </c>
      <c r="R918">
        <v>795</v>
      </c>
      <c r="S918">
        <v>-2745</v>
      </c>
      <c r="T918">
        <v>-8</v>
      </c>
      <c r="U918">
        <v>20</v>
      </c>
      <c r="V918" t="s">
        <v>37</v>
      </c>
      <c r="W918">
        <v>0</v>
      </c>
      <c r="X918">
        <v>0</v>
      </c>
      <c r="Y918">
        <v>0</v>
      </c>
      <c r="Z918">
        <v>4.5905974000000002E-2</v>
      </c>
      <c r="AA918">
        <v>3540</v>
      </c>
      <c r="AB918">
        <v>0</v>
      </c>
      <c r="AC918">
        <v>12</v>
      </c>
      <c r="AD918">
        <v>3.3898309999999998E-3</v>
      </c>
      <c r="AE918">
        <v>0</v>
      </c>
      <c r="AF918">
        <v>0</v>
      </c>
      <c r="AG918">
        <v>0</v>
      </c>
      <c r="AH918">
        <f t="shared" si="14"/>
        <v>0</v>
      </c>
    </row>
    <row r="919" spans="1:34" x14ac:dyDescent="0.25">
      <c r="A919" s="1">
        <v>44847</v>
      </c>
      <c r="B919">
        <v>395</v>
      </c>
      <c r="C919">
        <v>-6.2893080000000004E-3</v>
      </c>
      <c r="D919">
        <v>544</v>
      </c>
      <c r="E919">
        <v>-9.1074680000000005E-3</v>
      </c>
      <c r="F919">
        <v>2.8181600000000001E-3</v>
      </c>
      <c r="G919">
        <v>2.8181600000000001E-3</v>
      </c>
      <c r="H919">
        <v>3.6926543999999999E-2</v>
      </c>
      <c r="I919">
        <v>1.1560002999999999E-2</v>
      </c>
      <c r="J919">
        <v>1</v>
      </c>
      <c r="K919">
        <v>0</v>
      </c>
      <c r="L919">
        <v>-1</v>
      </c>
      <c r="M919">
        <v>5</v>
      </c>
      <c r="N919">
        <v>1.994328007</v>
      </c>
      <c r="O919">
        <v>-2</v>
      </c>
      <c r="P919">
        <v>5</v>
      </c>
      <c r="Q919">
        <v>7</v>
      </c>
      <c r="R919">
        <v>790</v>
      </c>
      <c r="S919">
        <v>-2720</v>
      </c>
      <c r="T919">
        <v>-13</v>
      </c>
      <c r="U919">
        <v>45</v>
      </c>
      <c r="V919" t="s">
        <v>35</v>
      </c>
      <c r="W919">
        <v>790</v>
      </c>
      <c r="X919">
        <v>-2720</v>
      </c>
      <c r="Y919">
        <v>32</v>
      </c>
      <c r="Z919">
        <v>3.6926543999999999E-2</v>
      </c>
      <c r="AA919">
        <v>3510</v>
      </c>
      <c r="AB919">
        <v>0</v>
      </c>
      <c r="AC919">
        <v>32</v>
      </c>
      <c r="AD919">
        <v>9.116809E-3</v>
      </c>
      <c r="AE919">
        <v>0</v>
      </c>
      <c r="AF919">
        <v>32</v>
      </c>
      <c r="AG919">
        <v>0</v>
      </c>
      <c r="AH919">
        <f t="shared" si="14"/>
        <v>9.1168091168091162E-3</v>
      </c>
    </row>
    <row r="920" spans="1:34" x14ac:dyDescent="0.25">
      <c r="A920" s="1">
        <v>44848</v>
      </c>
      <c r="B920">
        <v>412</v>
      </c>
      <c r="C920">
        <v>4.3037974999999999E-2</v>
      </c>
      <c r="D920">
        <v>585</v>
      </c>
      <c r="E920">
        <v>7.5367646999999996E-2</v>
      </c>
      <c r="F920">
        <v>-3.2329671999999997E-2</v>
      </c>
      <c r="G920">
        <v>3.2329671999999997E-2</v>
      </c>
      <c r="H920">
        <v>4.5576067999999997E-2</v>
      </c>
      <c r="I920">
        <v>4.3654696999999999E-2</v>
      </c>
      <c r="J920">
        <v>0</v>
      </c>
      <c r="K920">
        <v>0</v>
      </c>
      <c r="L920">
        <v>0</v>
      </c>
      <c r="M920">
        <v>5</v>
      </c>
      <c r="N920">
        <v>2.486518995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W920">
        <v>0</v>
      </c>
      <c r="X920">
        <v>0</v>
      </c>
      <c r="Y920">
        <v>0</v>
      </c>
      <c r="Z920">
        <v>4.5576067999999997E-2</v>
      </c>
      <c r="AA920">
        <v>0</v>
      </c>
      <c r="AB920" t="s">
        <v>33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f t="shared" si="14"/>
        <v>0</v>
      </c>
    </row>
    <row r="921" spans="1:34" x14ac:dyDescent="0.25">
      <c r="A921" s="1">
        <v>44851</v>
      </c>
      <c r="B921">
        <v>397</v>
      </c>
      <c r="C921">
        <v>-3.6407767000000001E-2</v>
      </c>
      <c r="D921">
        <v>578</v>
      </c>
      <c r="E921">
        <v>-1.1965811999999999E-2</v>
      </c>
      <c r="F921">
        <v>-2.4441955000000001E-2</v>
      </c>
      <c r="G921">
        <v>2.4441955000000001E-2</v>
      </c>
      <c r="H921">
        <v>4.6186896999999998E-2</v>
      </c>
      <c r="I921">
        <v>3.9906683999999998E-2</v>
      </c>
      <c r="J921">
        <v>0</v>
      </c>
      <c r="K921">
        <v>0</v>
      </c>
      <c r="L921">
        <v>0</v>
      </c>
      <c r="M921">
        <v>5</v>
      </c>
      <c r="N921">
        <v>0.47850387900000002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W921">
        <v>0</v>
      </c>
      <c r="X921">
        <v>0</v>
      </c>
      <c r="Y921">
        <v>0</v>
      </c>
      <c r="Z921">
        <v>4.6186896999999998E-2</v>
      </c>
      <c r="AA921">
        <v>0</v>
      </c>
      <c r="AB921" t="s">
        <v>33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f t="shared" si="14"/>
        <v>0</v>
      </c>
    </row>
    <row r="922" spans="1:34" x14ac:dyDescent="0.25">
      <c r="A922" s="1">
        <v>44852</v>
      </c>
      <c r="B922">
        <v>407</v>
      </c>
      <c r="C922">
        <v>2.5188917000000002E-2</v>
      </c>
      <c r="D922">
        <v>588</v>
      </c>
      <c r="E922">
        <v>1.7301038000000001E-2</v>
      </c>
      <c r="F922">
        <v>7.8878790000000004E-3</v>
      </c>
      <c r="G922">
        <v>7.8878790000000004E-3</v>
      </c>
      <c r="H922">
        <v>3.1235463000000002E-2</v>
      </c>
      <c r="I922">
        <v>3.6842767999999998E-2</v>
      </c>
      <c r="J922">
        <v>1</v>
      </c>
      <c r="K922">
        <v>0</v>
      </c>
      <c r="L922">
        <v>0</v>
      </c>
      <c r="M922">
        <v>5</v>
      </c>
      <c r="N922">
        <v>0.99230592699999998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W922">
        <v>0</v>
      </c>
      <c r="X922">
        <v>0</v>
      </c>
      <c r="Y922">
        <v>0</v>
      </c>
      <c r="Z922">
        <v>3.6842767999999998E-2</v>
      </c>
      <c r="AA922">
        <v>0</v>
      </c>
      <c r="AB922" t="s">
        <v>33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f t="shared" si="14"/>
        <v>0</v>
      </c>
    </row>
    <row r="923" spans="1:34" x14ac:dyDescent="0.25">
      <c r="A923" s="1">
        <v>44853</v>
      </c>
      <c r="B923">
        <v>395.5</v>
      </c>
      <c r="C923">
        <v>-2.8255527999999999E-2</v>
      </c>
      <c r="D923">
        <v>577</v>
      </c>
      <c r="E923">
        <v>-1.8707483E-2</v>
      </c>
      <c r="F923">
        <v>-9.5480449999999998E-3</v>
      </c>
      <c r="G923">
        <v>9.5480449999999998E-3</v>
      </c>
      <c r="H923">
        <v>3.4090756E-2</v>
      </c>
      <c r="I923">
        <v>3.871782E-2</v>
      </c>
      <c r="J923">
        <v>0</v>
      </c>
      <c r="K923">
        <v>0</v>
      </c>
      <c r="L923">
        <v>0</v>
      </c>
      <c r="M923">
        <v>5</v>
      </c>
      <c r="N923">
        <v>0.96592021100000003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W923">
        <v>0</v>
      </c>
      <c r="X923">
        <v>0</v>
      </c>
      <c r="Y923">
        <v>0</v>
      </c>
      <c r="Z923">
        <v>3.871782E-2</v>
      </c>
      <c r="AA923">
        <v>0</v>
      </c>
      <c r="AB923" t="s">
        <v>33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f t="shared" si="14"/>
        <v>0</v>
      </c>
    </row>
    <row r="924" spans="1:34" x14ac:dyDescent="0.25">
      <c r="A924" s="1">
        <v>44854</v>
      </c>
      <c r="B924">
        <v>397.5</v>
      </c>
      <c r="C924">
        <v>5.0568899999999996E-3</v>
      </c>
      <c r="D924">
        <v>570</v>
      </c>
      <c r="E924">
        <v>-1.2131716000000001E-2</v>
      </c>
      <c r="F924">
        <v>1.7188605999999999E-2</v>
      </c>
      <c r="G924">
        <v>1.7188605999999999E-2</v>
      </c>
      <c r="H924">
        <v>3.3990288E-2</v>
      </c>
      <c r="I924">
        <v>3.9123713999999997E-2</v>
      </c>
      <c r="J924">
        <v>1</v>
      </c>
      <c r="K924">
        <v>0</v>
      </c>
      <c r="L924">
        <v>0</v>
      </c>
      <c r="M924">
        <v>5</v>
      </c>
      <c r="N924">
        <v>3.4401425720000001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W924">
        <v>0</v>
      </c>
      <c r="X924">
        <v>0</v>
      </c>
      <c r="Y924">
        <v>0</v>
      </c>
      <c r="Z924">
        <v>3.9123713999999997E-2</v>
      </c>
      <c r="AA924">
        <v>0</v>
      </c>
      <c r="AB924" t="s">
        <v>33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f t="shared" si="14"/>
        <v>0</v>
      </c>
    </row>
    <row r="925" spans="1:34" x14ac:dyDescent="0.25">
      <c r="A925" s="1">
        <v>44855</v>
      </c>
      <c r="B925">
        <v>389.5</v>
      </c>
      <c r="C925">
        <v>-2.0125786E-2</v>
      </c>
      <c r="D925">
        <v>567</v>
      </c>
      <c r="E925">
        <v>-5.2631580000000004E-3</v>
      </c>
      <c r="F925">
        <v>-1.4862627999999999E-2</v>
      </c>
      <c r="G925">
        <v>1.4862627999999999E-2</v>
      </c>
      <c r="H925">
        <v>2.5465700000000001E-2</v>
      </c>
      <c r="I925">
        <v>1.3946617999999999E-2</v>
      </c>
      <c r="J925">
        <v>0</v>
      </c>
      <c r="K925">
        <v>0</v>
      </c>
      <c r="L925">
        <v>0</v>
      </c>
      <c r="M925">
        <v>5</v>
      </c>
      <c r="N925">
        <v>0.38068795999999999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W925">
        <v>0</v>
      </c>
      <c r="X925">
        <v>0</v>
      </c>
      <c r="Y925">
        <v>0</v>
      </c>
      <c r="Z925">
        <v>2.5465700000000001E-2</v>
      </c>
      <c r="AA925">
        <v>0</v>
      </c>
      <c r="AB925" t="s">
        <v>33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f t="shared" si="14"/>
        <v>0</v>
      </c>
    </row>
    <row r="926" spans="1:34" x14ac:dyDescent="0.25">
      <c r="A926" s="1">
        <v>44858</v>
      </c>
      <c r="B926">
        <v>387</v>
      </c>
      <c r="C926">
        <v>-6.4184849999999998E-3</v>
      </c>
      <c r="D926">
        <v>588</v>
      </c>
      <c r="E926">
        <v>3.7037037000000002E-2</v>
      </c>
      <c r="F926">
        <v>-4.3455522000000003E-2</v>
      </c>
      <c r="G926">
        <v>4.3455522000000003E-2</v>
      </c>
      <c r="H926">
        <v>2.1119262999999999E-2</v>
      </c>
      <c r="I926">
        <v>2.3072760000000001E-2</v>
      </c>
      <c r="J926">
        <v>0</v>
      </c>
      <c r="K926">
        <v>1</v>
      </c>
      <c r="L926">
        <v>1</v>
      </c>
      <c r="M926">
        <v>5</v>
      </c>
      <c r="N926">
        <v>8.7673844390000006</v>
      </c>
      <c r="O926">
        <v>44</v>
      </c>
      <c r="P926">
        <v>-5</v>
      </c>
      <c r="Q926">
        <v>49</v>
      </c>
      <c r="R926">
        <v>-17028</v>
      </c>
      <c r="S926">
        <v>2940</v>
      </c>
      <c r="T926">
        <v>0</v>
      </c>
      <c r="U926">
        <v>0</v>
      </c>
      <c r="V926" t="s">
        <v>34</v>
      </c>
      <c r="W926">
        <v>-17028</v>
      </c>
      <c r="X926">
        <v>2940</v>
      </c>
      <c r="Y926">
        <v>0</v>
      </c>
      <c r="Z926">
        <v>2.3072760000000001E-2</v>
      </c>
      <c r="AA926">
        <v>19968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19968</v>
      </c>
      <c r="AH926">
        <f t="shared" si="14"/>
        <v>0</v>
      </c>
    </row>
    <row r="927" spans="1:34" x14ac:dyDescent="0.25">
      <c r="A927" s="1">
        <v>44859</v>
      </c>
      <c r="B927">
        <v>371</v>
      </c>
      <c r="C927">
        <v>-4.1343669E-2</v>
      </c>
      <c r="D927">
        <v>563</v>
      </c>
      <c r="E927">
        <v>-4.2517007000000002E-2</v>
      </c>
      <c r="F927">
        <v>1.1733379999999999E-3</v>
      </c>
      <c r="G927">
        <v>1.1733379999999999E-3</v>
      </c>
      <c r="H927">
        <v>1.8166847E-2</v>
      </c>
      <c r="I927">
        <v>2.8976150999999999E-2</v>
      </c>
      <c r="J927">
        <v>1</v>
      </c>
      <c r="K927">
        <v>0</v>
      </c>
      <c r="L927">
        <v>-1</v>
      </c>
      <c r="M927">
        <v>5</v>
      </c>
      <c r="N927">
        <v>1.560587594</v>
      </c>
      <c r="O927">
        <v>-44</v>
      </c>
      <c r="P927">
        <v>5</v>
      </c>
      <c r="Q927">
        <v>49</v>
      </c>
      <c r="R927">
        <v>16324</v>
      </c>
      <c r="S927">
        <v>-2815</v>
      </c>
      <c r="T927">
        <v>-704</v>
      </c>
      <c r="U927">
        <v>125</v>
      </c>
      <c r="V927" t="s">
        <v>35</v>
      </c>
      <c r="W927">
        <v>16324</v>
      </c>
      <c r="X927">
        <v>-2815</v>
      </c>
      <c r="Y927">
        <v>-579</v>
      </c>
      <c r="Z927">
        <v>2.8976150999999999E-2</v>
      </c>
      <c r="AA927">
        <v>19139</v>
      </c>
      <c r="AB927">
        <v>0</v>
      </c>
      <c r="AC927">
        <v>-579</v>
      </c>
      <c r="AD927">
        <v>-3.0252364E-2</v>
      </c>
      <c r="AE927">
        <v>1</v>
      </c>
      <c r="AF927">
        <v>-579</v>
      </c>
      <c r="AG927">
        <v>0</v>
      </c>
      <c r="AH927">
        <f t="shared" si="14"/>
        <v>-3.02523642823554E-2</v>
      </c>
    </row>
    <row r="928" spans="1:34" x14ac:dyDescent="0.25">
      <c r="A928" s="1">
        <v>44860</v>
      </c>
      <c r="B928">
        <v>376</v>
      </c>
      <c r="C928">
        <v>1.3477088999999999E-2</v>
      </c>
      <c r="D928">
        <v>579</v>
      </c>
      <c r="E928">
        <v>2.8419183000000001E-2</v>
      </c>
      <c r="F928">
        <v>-1.4942094E-2</v>
      </c>
      <c r="G928">
        <v>1.4942094E-2</v>
      </c>
      <c r="H928">
        <v>2.1654010000000001E-2</v>
      </c>
      <c r="I928">
        <v>3.2232822000000001E-2</v>
      </c>
      <c r="J928">
        <v>0</v>
      </c>
      <c r="K928">
        <v>0</v>
      </c>
      <c r="L928">
        <v>0</v>
      </c>
      <c r="M928">
        <v>5</v>
      </c>
      <c r="N928">
        <v>3.2471788670000001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W928">
        <v>0</v>
      </c>
      <c r="X928">
        <v>0</v>
      </c>
      <c r="Y928">
        <v>0</v>
      </c>
      <c r="Z928">
        <v>3.2232822000000001E-2</v>
      </c>
      <c r="AA928">
        <v>0</v>
      </c>
      <c r="AB928" t="s">
        <v>33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f t="shared" si="14"/>
        <v>0</v>
      </c>
    </row>
    <row r="929" spans="1:34" x14ac:dyDescent="0.25">
      <c r="A929" s="1">
        <v>44861</v>
      </c>
      <c r="B929">
        <v>385.5</v>
      </c>
      <c r="C929">
        <v>2.5265956999999999E-2</v>
      </c>
      <c r="D929">
        <v>589</v>
      </c>
      <c r="E929">
        <v>1.7271156999999999E-2</v>
      </c>
      <c r="F929">
        <v>7.9947999999999998E-3</v>
      </c>
      <c r="G929">
        <v>7.9947999999999998E-3</v>
      </c>
      <c r="H929">
        <v>2.6484234999999998E-2</v>
      </c>
      <c r="I929">
        <v>3.1893652000000002E-2</v>
      </c>
      <c r="J929">
        <v>1</v>
      </c>
      <c r="K929">
        <v>0</v>
      </c>
      <c r="L929">
        <v>0</v>
      </c>
      <c r="M929">
        <v>5</v>
      </c>
      <c r="N929">
        <v>1.044423388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W929">
        <v>0</v>
      </c>
      <c r="X929">
        <v>0</v>
      </c>
      <c r="Y929">
        <v>0</v>
      </c>
      <c r="Z929">
        <v>3.1893652000000002E-2</v>
      </c>
      <c r="AA929">
        <v>0</v>
      </c>
      <c r="AB929" t="s">
        <v>33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f t="shared" si="14"/>
        <v>0</v>
      </c>
    </row>
    <row r="930" spans="1:34" x14ac:dyDescent="0.25">
      <c r="A930" s="1">
        <v>44862</v>
      </c>
      <c r="B930">
        <v>379.5</v>
      </c>
      <c r="C930">
        <v>-1.5564201999999999E-2</v>
      </c>
      <c r="D930">
        <v>565</v>
      </c>
      <c r="E930">
        <v>-4.0747028999999997E-2</v>
      </c>
      <c r="F930">
        <v>2.5182827000000001E-2</v>
      </c>
      <c r="G930">
        <v>2.5182827000000001E-2</v>
      </c>
      <c r="H930">
        <v>2.5941631999999999E-2</v>
      </c>
      <c r="I930">
        <v>3.8553999999999998E-2</v>
      </c>
      <c r="J930">
        <v>1</v>
      </c>
      <c r="K930">
        <v>0</v>
      </c>
      <c r="L930">
        <v>0</v>
      </c>
      <c r="M930">
        <v>5</v>
      </c>
      <c r="N930">
        <v>3.8976761039999999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W930">
        <v>0</v>
      </c>
      <c r="X930">
        <v>0</v>
      </c>
      <c r="Y930">
        <v>0</v>
      </c>
      <c r="Z930">
        <v>3.8553999999999998E-2</v>
      </c>
      <c r="AA930">
        <v>0</v>
      </c>
      <c r="AB930" t="s">
        <v>33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f t="shared" si="14"/>
        <v>0</v>
      </c>
    </row>
    <row r="931" spans="1:34" x14ac:dyDescent="0.25">
      <c r="A931" s="1">
        <v>44865</v>
      </c>
      <c r="B931">
        <v>390</v>
      </c>
      <c r="C931">
        <v>2.7667984E-2</v>
      </c>
      <c r="D931">
        <v>590</v>
      </c>
      <c r="E931">
        <v>4.4247788000000003E-2</v>
      </c>
      <c r="F931">
        <v>-1.6579803000000001E-2</v>
      </c>
      <c r="G931">
        <v>1.6579803000000001E-2</v>
      </c>
      <c r="H931">
        <v>2.9660577E-2</v>
      </c>
      <c r="I931">
        <v>4.0382289000000002E-2</v>
      </c>
      <c r="J931">
        <v>0</v>
      </c>
      <c r="K931">
        <v>0</v>
      </c>
      <c r="L931">
        <v>0</v>
      </c>
      <c r="M931">
        <v>5</v>
      </c>
      <c r="N931">
        <v>2.419365295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W931">
        <v>0</v>
      </c>
      <c r="X931">
        <v>0</v>
      </c>
      <c r="Y931">
        <v>0</v>
      </c>
      <c r="Z931">
        <v>4.0382289000000002E-2</v>
      </c>
      <c r="AA931">
        <v>0</v>
      </c>
      <c r="AB931" t="s">
        <v>33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f t="shared" si="14"/>
        <v>0</v>
      </c>
    </row>
    <row r="932" spans="1:34" x14ac:dyDescent="0.25">
      <c r="A932" s="1">
        <v>44866</v>
      </c>
      <c r="B932">
        <v>391.5</v>
      </c>
      <c r="C932">
        <v>3.8461540000000001E-3</v>
      </c>
      <c r="D932">
        <v>599</v>
      </c>
      <c r="E932">
        <v>1.5254237E-2</v>
      </c>
      <c r="F932">
        <v>-1.1408082999999999E-2</v>
      </c>
      <c r="G932">
        <v>1.1408082999999999E-2</v>
      </c>
      <c r="H932">
        <v>1.7637252999999999E-2</v>
      </c>
      <c r="I932">
        <v>3.2117680000000003E-2</v>
      </c>
      <c r="J932">
        <v>0</v>
      </c>
      <c r="K932">
        <v>0</v>
      </c>
      <c r="L932">
        <v>0</v>
      </c>
      <c r="M932">
        <v>5</v>
      </c>
      <c r="N932">
        <v>6.0681862459999998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W932">
        <v>0</v>
      </c>
      <c r="X932">
        <v>0</v>
      </c>
      <c r="Y932">
        <v>0</v>
      </c>
      <c r="Z932">
        <v>3.2117680000000003E-2</v>
      </c>
      <c r="AA932">
        <v>0</v>
      </c>
      <c r="AB932" t="s">
        <v>33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f t="shared" si="14"/>
        <v>0</v>
      </c>
    </row>
    <row r="933" spans="1:34" x14ac:dyDescent="0.25">
      <c r="A933" s="1">
        <v>44867</v>
      </c>
      <c r="B933">
        <v>395</v>
      </c>
      <c r="C933">
        <v>8.9399739999999998E-3</v>
      </c>
      <c r="D933">
        <v>599</v>
      </c>
      <c r="E933">
        <v>0</v>
      </c>
      <c r="F933">
        <v>8.9399739999999998E-3</v>
      </c>
      <c r="G933">
        <v>8.9399739999999998E-3</v>
      </c>
      <c r="H933">
        <v>1.7590651999999998E-2</v>
      </c>
      <c r="I933">
        <v>3.1183308999999999E-2</v>
      </c>
      <c r="J933">
        <v>1</v>
      </c>
      <c r="K933">
        <v>0</v>
      </c>
      <c r="L933">
        <v>0</v>
      </c>
      <c r="M933">
        <v>5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W933">
        <v>0</v>
      </c>
      <c r="X933">
        <v>0</v>
      </c>
      <c r="Y933">
        <v>0</v>
      </c>
      <c r="Z933">
        <v>3.1183308999999999E-2</v>
      </c>
      <c r="AA933">
        <v>0</v>
      </c>
      <c r="AB933" t="s">
        <v>33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f t="shared" si="14"/>
        <v>0</v>
      </c>
    </row>
    <row r="934" spans="1:34" x14ac:dyDescent="0.25">
      <c r="A934" s="1">
        <v>44868</v>
      </c>
      <c r="B934">
        <v>384</v>
      </c>
      <c r="C934">
        <v>-2.7848101E-2</v>
      </c>
      <c r="D934">
        <v>600</v>
      </c>
      <c r="E934">
        <v>1.6694489999999999E-3</v>
      </c>
      <c r="F934">
        <v>-2.951755E-2</v>
      </c>
      <c r="G934">
        <v>2.951755E-2</v>
      </c>
      <c r="H934">
        <v>2.1657817999999999E-2</v>
      </c>
      <c r="I934">
        <v>3.0701117E-2</v>
      </c>
      <c r="J934">
        <v>0</v>
      </c>
      <c r="K934">
        <v>0</v>
      </c>
      <c r="L934">
        <v>0</v>
      </c>
      <c r="M934">
        <v>5</v>
      </c>
      <c r="N934">
        <v>9.3669373E-2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W934">
        <v>0</v>
      </c>
      <c r="X934">
        <v>0</v>
      </c>
      <c r="Y934">
        <v>0</v>
      </c>
      <c r="Z934">
        <v>3.0701117E-2</v>
      </c>
      <c r="AA934">
        <v>0</v>
      </c>
      <c r="AB934" t="s">
        <v>33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f t="shared" si="14"/>
        <v>0</v>
      </c>
    </row>
    <row r="935" spans="1:34" x14ac:dyDescent="0.25">
      <c r="A935" s="1">
        <v>44869</v>
      </c>
      <c r="B935">
        <v>382</v>
      </c>
      <c r="C935">
        <v>-5.2083329999999999E-3</v>
      </c>
      <c r="D935">
        <v>597</v>
      </c>
      <c r="E935">
        <v>-5.0000000000000001E-3</v>
      </c>
      <c r="F935">
        <v>-2.08333E-4</v>
      </c>
      <c r="G935">
        <v>2.08333E-4</v>
      </c>
      <c r="H935">
        <v>2.0321981999999999E-2</v>
      </c>
      <c r="I935">
        <v>1.9920457999999999E-2</v>
      </c>
      <c r="J935">
        <v>0</v>
      </c>
      <c r="K935">
        <v>0</v>
      </c>
      <c r="L935">
        <v>0</v>
      </c>
      <c r="M935">
        <v>5</v>
      </c>
      <c r="N935">
        <v>1.5003141360000001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W935">
        <v>0</v>
      </c>
      <c r="X935">
        <v>0</v>
      </c>
      <c r="Y935">
        <v>0</v>
      </c>
      <c r="Z935">
        <v>2.0321981999999999E-2</v>
      </c>
      <c r="AA935">
        <v>0</v>
      </c>
      <c r="AB935" t="s">
        <v>33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f t="shared" si="14"/>
        <v>0</v>
      </c>
    </row>
    <row r="936" spans="1:34" x14ac:dyDescent="0.25">
      <c r="A936" s="1">
        <v>44872</v>
      </c>
      <c r="B936">
        <v>390</v>
      </c>
      <c r="C936">
        <v>2.0942407999999999E-2</v>
      </c>
      <c r="D936">
        <v>620</v>
      </c>
      <c r="E936">
        <v>3.8525963000000003E-2</v>
      </c>
      <c r="F936">
        <v>-1.7583555000000001E-2</v>
      </c>
      <c r="G936">
        <v>1.7583555000000001E-2</v>
      </c>
      <c r="H936">
        <v>1.8274665999999998E-2</v>
      </c>
      <c r="I936">
        <v>1.7576227999999999E-2</v>
      </c>
      <c r="J936">
        <v>0</v>
      </c>
      <c r="K936">
        <v>0</v>
      </c>
      <c r="L936">
        <v>0</v>
      </c>
      <c r="M936">
        <v>5</v>
      </c>
      <c r="N936">
        <v>2.924515741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W936">
        <v>0</v>
      </c>
      <c r="X936">
        <v>0</v>
      </c>
      <c r="Y936">
        <v>0</v>
      </c>
      <c r="Z936">
        <v>1.8274665999999998E-2</v>
      </c>
      <c r="AA936">
        <v>0</v>
      </c>
      <c r="AB936" t="s">
        <v>33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f t="shared" si="14"/>
        <v>0</v>
      </c>
    </row>
    <row r="937" spans="1:34" x14ac:dyDescent="0.25">
      <c r="A937" s="1">
        <v>44873</v>
      </c>
      <c r="B937">
        <v>399</v>
      </c>
      <c r="C937">
        <v>2.3076922999999999E-2</v>
      </c>
      <c r="D937">
        <v>620</v>
      </c>
      <c r="E937">
        <v>0</v>
      </c>
      <c r="F937">
        <v>2.3076922999999999E-2</v>
      </c>
      <c r="G937">
        <v>2.3076922999999999E-2</v>
      </c>
      <c r="H937">
        <v>2.1062233E-2</v>
      </c>
      <c r="I937">
        <v>1.7778452E-2</v>
      </c>
      <c r="J937">
        <v>1</v>
      </c>
      <c r="K937">
        <v>0</v>
      </c>
      <c r="L937">
        <v>0</v>
      </c>
      <c r="M937">
        <v>5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W937">
        <v>0</v>
      </c>
      <c r="X937">
        <v>0</v>
      </c>
      <c r="Y937">
        <v>0</v>
      </c>
      <c r="Z937">
        <v>2.1062233E-2</v>
      </c>
      <c r="AA937">
        <v>0</v>
      </c>
      <c r="AB937" t="s">
        <v>33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f t="shared" si="14"/>
        <v>0</v>
      </c>
    </row>
    <row r="938" spans="1:34" x14ac:dyDescent="0.25">
      <c r="A938" s="1">
        <v>44874</v>
      </c>
      <c r="B938">
        <v>417</v>
      </c>
      <c r="C938">
        <v>4.5112781999999997E-2</v>
      </c>
      <c r="D938">
        <v>650</v>
      </c>
      <c r="E938">
        <v>4.8387096999999997E-2</v>
      </c>
      <c r="F938">
        <v>-3.2743149999999999E-3</v>
      </c>
      <c r="G938">
        <v>3.2743149999999999E-3</v>
      </c>
      <c r="H938">
        <v>2.8195918E-2</v>
      </c>
      <c r="I938">
        <v>2.4779734000000001E-2</v>
      </c>
      <c r="J938">
        <v>0</v>
      </c>
      <c r="K938">
        <v>0</v>
      </c>
      <c r="L938">
        <v>0</v>
      </c>
      <c r="M938">
        <v>5</v>
      </c>
      <c r="N938">
        <v>1.6718882960000001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W938">
        <v>0</v>
      </c>
      <c r="X938">
        <v>0</v>
      </c>
      <c r="Y938">
        <v>0</v>
      </c>
      <c r="Z938">
        <v>2.8195918E-2</v>
      </c>
      <c r="AA938">
        <v>0</v>
      </c>
      <c r="AB938" t="s">
        <v>33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f t="shared" si="14"/>
        <v>0</v>
      </c>
    </row>
    <row r="939" spans="1:34" x14ac:dyDescent="0.25">
      <c r="A939" s="1">
        <v>44875</v>
      </c>
      <c r="B939">
        <v>407.5</v>
      </c>
      <c r="C939">
        <v>-2.2781775000000001E-2</v>
      </c>
      <c r="D939">
        <v>660</v>
      </c>
      <c r="E939">
        <v>1.5384615000000001E-2</v>
      </c>
      <c r="F939">
        <v>-3.8166390000000001E-2</v>
      </c>
      <c r="G939">
        <v>3.8166390000000001E-2</v>
      </c>
      <c r="H939">
        <v>2.6479987999999999E-2</v>
      </c>
      <c r="I939">
        <v>2.3419435999999998E-2</v>
      </c>
      <c r="J939">
        <v>0</v>
      </c>
      <c r="K939">
        <v>1</v>
      </c>
      <c r="L939">
        <v>1</v>
      </c>
      <c r="M939">
        <v>5</v>
      </c>
      <c r="N939">
        <v>1.0937433249999999</v>
      </c>
      <c r="O939">
        <v>6</v>
      </c>
      <c r="P939">
        <v>-5</v>
      </c>
      <c r="Q939">
        <v>11</v>
      </c>
      <c r="R939">
        <v>-2445</v>
      </c>
      <c r="S939">
        <v>3300</v>
      </c>
      <c r="T939">
        <v>0</v>
      </c>
      <c r="U939">
        <v>0</v>
      </c>
      <c r="V939" t="s">
        <v>34</v>
      </c>
      <c r="W939">
        <v>-2445</v>
      </c>
      <c r="X939">
        <v>3300</v>
      </c>
      <c r="Y939">
        <v>0</v>
      </c>
      <c r="Z939">
        <v>2.6479987999999999E-2</v>
      </c>
      <c r="AA939">
        <v>5745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5745</v>
      </c>
      <c r="AH939">
        <f t="shared" si="14"/>
        <v>0</v>
      </c>
    </row>
    <row r="940" spans="1:34" x14ac:dyDescent="0.25">
      <c r="A940" s="1">
        <v>44876</v>
      </c>
      <c r="B940">
        <v>441.5</v>
      </c>
      <c r="C940">
        <v>8.3435582999999994E-2</v>
      </c>
      <c r="D940">
        <v>700</v>
      </c>
      <c r="E940">
        <v>6.0606061000000003E-2</v>
      </c>
      <c r="F940">
        <v>2.2829522000000001E-2</v>
      </c>
      <c r="G940">
        <v>2.2829522000000001E-2</v>
      </c>
      <c r="H940">
        <v>3.8728650000000003E-2</v>
      </c>
      <c r="I940">
        <v>2.4636439E-2</v>
      </c>
      <c r="J940">
        <v>1</v>
      </c>
      <c r="K940">
        <v>0</v>
      </c>
      <c r="L940">
        <v>-1</v>
      </c>
      <c r="M940">
        <v>5</v>
      </c>
      <c r="N940">
        <v>1.151680687</v>
      </c>
      <c r="O940">
        <v>-6</v>
      </c>
      <c r="P940">
        <v>5</v>
      </c>
      <c r="Q940">
        <v>11</v>
      </c>
      <c r="R940">
        <v>2649</v>
      </c>
      <c r="S940">
        <v>-3500</v>
      </c>
      <c r="T940">
        <v>204</v>
      </c>
      <c r="U940">
        <v>-200</v>
      </c>
      <c r="V940" t="s">
        <v>35</v>
      </c>
      <c r="W940">
        <v>2649</v>
      </c>
      <c r="X940">
        <v>-3500</v>
      </c>
      <c r="Y940">
        <v>4</v>
      </c>
      <c r="Z940">
        <v>3.8728650000000003E-2</v>
      </c>
      <c r="AA940">
        <v>6149</v>
      </c>
      <c r="AB940">
        <v>0</v>
      </c>
      <c r="AC940">
        <v>4</v>
      </c>
      <c r="AD940">
        <v>6.5051200000000001E-4</v>
      </c>
      <c r="AE940">
        <v>0</v>
      </c>
      <c r="AF940">
        <v>4</v>
      </c>
      <c r="AG940">
        <v>0</v>
      </c>
      <c r="AH940">
        <f t="shared" si="14"/>
        <v>6.5051227841925522E-4</v>
      </c>
    </row>
    <row r="941" spans="1:34" x14ac:dyDescent="0.25">
      <c r="A941" s="1">
        <v>44879</v>
      </c>
      <c r="B941">
        <v>445</v>
      </c>
      <c r="C941">
        <v>7.9275200000000004E-3</v>
      </c>
      <c r="D941">
        <v>697</v>
      </c>
      <c r="E941">
        <v>-4.2857140000000004E-3</v>
      </c>
      <c r="F941">
        <v>1.2213234E-2</v>
      </c>
      <c r="G941">
        <v>1.2213234E-2</v>
      </c>
      <c r="H941">
        <v>3.9905499999999997E-2</v>
      </c>
      <c r="I941">
        <v>2.9090543999999999E-2</v>
      </c>
      <c r="J941">
        <v>1</v>
      </c>
      <c r="K941">
        <v>0</v>
      </c>
      <c r="L941">
        <v>0</v>
      </c>
      <c r="M941">
        <v>5</v>
      </c>
      <c r="N941">
        <v>0.84675670700000005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W941">
        <v>0</v>
      </c>
      <c r="X941">
        <v>0</v>
      </c>
      <c r="Y941">
        <v>0</v>
      </c>
      <c r="Z941">
        <v>3.9905499999999997E-2</v>
      </c>
      <c r="AA941">
        <v>0</v>
      </c>
      <c r="AB941" t="s">
        <v>33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f t="shared" si="14"/>
        <v>0</v>
      </c>
    </row>
    <row r="942" spans="1:34" x14ac:dyDescent="0.25">
      <c r="A942" s="1">
        <v>44880</v>
      </c>
      <c r="B942">
        <v>480</v>
      </c>
      <c r="C942">
        <v>7.8651684999999999E-2</v>
      </c>
      <c r="D942">
        <v>722</v>
      </c>
      <c r="E942">
        <v>3.5868006000000001E-2</v>
      </c>
      <c r="F942">
        <v>4.2783679999999998E-2</v>
      </c>
      <c r="G942">
        <v>4.2783679999999998E-2</v>
      </c>
      <c r="H942">
        <v>4.5730791E-2</v>
      </c>
      <c r="I942">
        <v>2.5938702000000001E-2</v>
      </c>
      <c r="J942">
        <v>1</v>
      </c>
      <c r="K942">
        <v>0</v>
      </c>
      <c r="L942">
        <v>0</v>
      </c>
      <c r="M942">
        <v>5</v>
      </c>
      <c r="N942">
        <v>0.68595426000000004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W942">
        <v>0</v>
      </c>
      <c r="X942">
        <v>0</v>
      </c>
      <c r="Y942">
        <v>0</v>
      </c>
      <c r="Z942">
        <v>4.5730791E-2</v>
      </c>
      <c r="AA942">
        <v>0</v>
      </c>
      <c r="AB942" t="s">
        <v>33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f t="shared" si="14"/>
        <v>0</v>
      </c>
    </row>
    <row r="943" spans="1:34" x14ac:dyDescent="0.25">
      <c r="A943" s="1">
        <v>44881</v>
      </c>
      <c r="B943">
        <v>487</v>
      </c>
      <c r="C943">
        <v>1.4583333E-2</v>
      </c>
      <c r="D943">
        <v>729</v>
      </c>
      <c r="E943">
        <v>9.695291E-3</v>
      </c>
      <c r="F943">
        <v>4.8880420000000004E-3</v>
      </c>
      <c r="G943">
        <v>4.8880420000000004E-3</v>
      </c>
      <c r="H943">
        <v>4.6650848000000002E-2</v>
      </c>
      <c r="I943">
        <v>2.5289780000000001E-2</v>
      </c>
      <c r="J943">
        <v>1</v>
      </c>
      <c r="K943">
        <v>0</v>
      </c>
      <c r="L943">
        <v>0</v>
      </c>
      <c r="M943">
        <v>5</v>
      </c>
      <c r="N943">
        <v>0.99518221699999998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W943">
        <v>0</v>
      </c>
      <c r="X943">
        <v>0</v>
      </c>
      <c r="Y943">
        <v>0</v>
      </c>
      <c r="Z943">
        <v>4.6650848000000002E-2</v>
      </c>
      <c r="AA943">
        <v>0</v>
      </c>
      <c r="AB943" t="s">
        <v>33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f t="shared" si="14"/>
        <v>0</v>
      </c>
    </row>
    <row r="944" spans="1:34" x14ac:dyDescent="0.25">
      <c r="A944" s="1">
        <v>44882</v>
      </c>
      <c r="B944">
        <v>485</v>
      </c>
      <c r="C944">
        <v>-4.1067760000000003E-3</v>
      </c>
      <c r="D944">
        <v>725</v>
      </c>
      <c r="E944">
        <v>-5.4869680000000001E-3</v>
      </c>
      <c r="F944">
        <v>1.3801919999999999E-3</v>
      </c>
      <c r="G944">
        <v>1.3801919999999999E-3</v>
      </c>
      <c r="H944">
        <v>4.1606921999999998E-2</v>
      </c>
      <c r="I944">
        <v>2.8476383000000001E-2</v>
      </c>
      <c r="J944">
        <v>1</v>
      </c>
      <c r="K944">
        <v>0</v>
      </c>
      <c r="L944">
        <v>0</v>
      </c>
      <c r="M944">
        <v>5</v>
      </c>
      <c r="N944">
        <v>1.9972282320000001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W944">
        <v>0</v>
      </c>
      <c r="X944">
        <v>0</v>
      </c>
      <c r="Y944">
        <v>0</v>
      </c>
      <c r="Z944">
        <v>4.1606921999999998E-2</v>
      </c>
      <c r="AA944">
        <v>0</v>
      </c>
      <c r="AB944" t="s">
        <v>33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f t="shared" si="14"/>
        <v>0</v>
      </c>
    </row>
    <row r="945" spans="1:34" x14ac:dyDescent="0.25">
      <c r="A945" s="1">
        <v>44883</v>
      </c>
      <c r="B945">
        <v>487</v>
      </c>
      <c r="C945">
        <v>4.1237110000000004E-3</v>
      </c>
      <c r="D945">
        <v>722</v>
      </c>
      <c r="E945">
        <v>-4.1379310000000001E-3</v>
      </c>
      <c r="F945">
        <v>8.2616419999999996E-3</v>
      </c>
      <c r="G945">
        <v>8.2616419999999996E-3</v>
      </c>
      <c r="H945">
        <v>3.334674E-2</v>
      </c>
      <c r="I945">
        <v>1.7647454999999999E-2</v>
      </c>
      <c r="J945">
        <v>1</v>
      </c>
      <c r="K945">
        <v>0</v>
      </c>
      <c r="L945">
        <v>0</v>
      </c>
      <c r="M945">
        <v>5</v>
      </c>
      <c r="N945">
        <v>1.48765843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W945">
        <v>0</v>
      </c>
      <c r="X945">
        <v>0</v>
      </c>
      <c r="Y945">
        <v>0</v>
      </c>
      <c r="Z945">
        <v>3.334674E-2</v>
      </c>
      <c r="AA945">
        <v>0</v>
      </c>
      <c r="AB945" t="s">
        <v>33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f t="shared" si="14"/>
        <v>0</v>
      </c>
    </row>
    <row r="946" spans="1:34" x14ac:dyDescent="0.25">
      <c r="A946" s="1">
        <v>44886</v>
      </c>
      <c r="B946">
        <v>482</v>
      </c>
      <c r="C946">
        <v>-1.026694E-2</v>
      </c>
      <c r="D946">
        <v>720</v>
      </c>
      <c r="E946">
        <v>-2.770083E-3</v>
      </c>
      <c r="F946">
        <v>-7.496857E-3</v>
      </c>
      <c r="G946">
        <v>7.496857E-3</v>
      </c>
      <c r="H946">
        <v>3.5919143000000001E-2</v>
      </c>
      <c r="I946">
        <v>1.7431206000000001E-2</v>
      </c>
      <c r="J946">
        <v>0</v>
      </c>
      <c r="K946">
        <v>0</v>
      </c>
      <c r="L946">
        <v>0</v>
      </c>
      <c r="M946">
        <v>5</v>
      </c>
      <c r="N946">
        <v>0.40302985000000002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W946">
        <v>0</v>
      </c>
      <c r="X946">
        <v>0</v>
      </c>
      <c r="Y946">
        <v>0</v>
      </c>
      <c r="Z946">
        <v>3.5919143000000001E-2</v>
      </c>
      <c r="AA946">
        <v>0</v>
      </c>
      <c r="AB946" t="s">
        <v>33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f t="shared" si="14"/>
        <v>0</v>
      </c>
    </row>
    <row r="947" spans="1:34" x14ac:dyDescent="0.25">
      <c r="A947" s="1">
        <v>44887</v>
      </c>
      <c r="B947">
        <v>491</v>
      </c>
      <c r="C947">
        <v>1.8672199E-2</v>
      </c>
      <c r="D947">
        <v>713</v>
      </c>
      <c r="E947">
        <v>-9.7222220000000008E-3</v>
      </c>
      <c r="F947">
        <v>2.8394421E-2</v>
      </c>
      <c r="G947">
        <v>2.8394421E-2</v>
      </c>
      <c r="H947">
        <v>1.2193794000000001E-2</v>
      </c>
      <c r="I947">
        <v>7.2897550000000002E-3</v>
      </c>
      <c r="J947">
        <v>1</v>
      </c>
      <c r="K947">
        <v>1</v>
      </c>
      <c r="L947">
        <v>1</v>
      </c>
      <c r="M947">
        <v>5</v>
      </c>
      <c r="N947">
        <v>0.75609803600000003</v>
      </c>
      <c r="O947">
        <v>-4</v>
      </c>
      <c r="P947">
        <v>5</v>
      </c>
      <c r="Q947">
        <v>9</v>
      </c>
      <c r="R947">
        <v>1964</v>
      </c>
      <c r="S947">
        <v>-3565</v>
      </c>
      <c r="T947">
        <v>0</v>
      </c>
      <c r="U947">
        <v>0</v>
      </c>
      <c r="V947" t="s">
        <v>34</v>
      </c>
      <c r="W947">
        <v>1964</v>
      </c>
      <c r="X947">
        <v>-3565</v>
      </c>
      <c r="Y947">
        <v>0</v>
      </c>
      <c r="Z947">
        <v>1.2193794000000001E-2</v>
      </c>
      <c r="AA947">
        <v>5529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5529</v>
      </c>
      <c r="AH947">
        <f t="shared" si="14"/>
        <v>0</v>
      </c>
    </row>
    <row r="948" spans="1:34" x14ac:dyDescent="0.25">
      <c r="A948" s="1">
        <v>44888</v>
      </c>
      <c r="B948">
        <v>492</v>
      </c>
      <c r="C948">
        <v>2.03666E-3</v>
      </c>
      <c r="D948">
        <v>705</v>
      </c>
      <c r="E948">
        <v>-1.1220196E-2</v>
      </c>
      <c r="F948">
        <v>1.3256855999999999E-2</v>
      </c>
      <c r="G948">
        <v>1.3256855999999999E-2</v>
      </c>
      <c r="H948">
        <v>1.0842073000000001E-2</v>
      </c>
      <c r="I948">
        <v>3.6414490000000002E-3</v>
      </c>
      <c r="J948">
        <v>1</v>
      </c>
      <c r="K948">
        <v>1</v>
      </c>
      <c r="L948">
        <v>0</v>
      </c>
      <c r="M948">
        <v>5</v>
      </c>
      <c r="N948">
        <v>7.8941607090000003</v>
      </c>
      <c r="O948">
        <v>4</v>
      </c>
      <c r="P948">
        <v>-5</v>
      </c>
      <c r="Q948">
        <v>9</v>
      </c>
      <c r="R948">
        <v>-1968</v>
      </c>
      <c r="S948">
        <v>3525</v>
      </c>
      <c r="T948">
        <v>-4</v>
      </c>
      <c r="U948">
        <v>-40</v>
      </c>
      <c r="V948" t="s">
        <v>37</v>
      </c>
      <c r="W948">
        <v>0</v>
      </c>
      <c r="X948">
        <v>0</v>
      </c>
      <c r="Y948">
        <v>0</v>
      </c>
      <c r="Z948">
        <v>1.0842073000000001E-2</v>
      </c>
      <c r="AA948">
        <v>5493</v>
      </c>
      <c r="AB948">
        <v>0</v>
      </c>
      <c r="AC948">
        <v>-44</v>
      </c>
      <c r="AD948">
        <v>-8.0101949999999995E-3</v>
      </c>
      <c r="AE948">
        <v>0</v>
      </c>
      <c r="AF948">
        <v>0</v>
      </c>
      <c r="AG948">
        <v>0</v>
      </c>
      <c r="AH948">
        <f t="shared" si="14"/>
        <v>0</v>
      </c>
    </row>
    <row r="949" spans="1:34" x14ac:dyDescent="0.25">
      <c r="A949" s="1">
        <v>44889</v>
      </c>
      <c r="B949">
        <v>496</v>
      </c>
      <c r="C949">
        <v>8.1300810000000008E-3</v>
      </c>
      <c r="D949">
        <v>728</v>
      </c>
      <c r="E949">
        <v>3.2624113000000003E-2</v>
      </c>
      <c r="F949">
        <v>-2.4494031999999999E-2</v>
      </c>
      <c r="G949">
        <v>2.4494031999999999E-2</v>
      </c>
      <c r="H949">
        <v>1.0467727E-2</v>
      </c>
      <c r="I949">
        <v>1.8062291000000001E-2</v>
      </c>
      <c r="J949">
        <v>0</v>
      </c>
      <c r="K949">
        <v>0</v>
      </c>
      <c r="L949">
        <v>-1</v>
      </c>
      <c r="M949">
        <v>5</v>
      </c>
      <c r="N949">
        <v>5.8897048730000003</v>
      </c>
      <c r="O949">
        <v>4</v>
      </c>
      <c r="P949">
        <v>-5</v>
      </c>
      <c r="Q949">
        <v>9</v>
      </c>
      <c r="R949">
        <v>-1984</v>
      </c>
      <c r="S949">
        <v>3640</v>
      </c>
      <c r="T949">
        <v>-20</v>
      </c>
      <c r="U949">
        <v>75</v>
      </c>
      <c r="V949" t="s">
        <v>35</v>
      </c>
      <c r="W949">
        <v>-1984</v>
      </c>
      <c r="X949">
        <v>3640</v>
      </c>
      <c r="Y949">
        <v>55</v>
      </c>
      <c r="Z949">
        <v>1.8062291000000001E-2</v>
      </c>
      <c r="AA949">
        <v>5624</v>
      </c>
      <c r="AB949">
        <v>0</v>
      </c>
      <c r="AC949">
        <v>55</v>
      </c>
      <c r="AD949">
        <v>9.7795160000000003E-3</v>
      </c>
      <c r="AE949">
        <v>0</v>
      </c>
      <c r="AF949">
        <v>55</v>
      </c>
      <c r="AG949">
        <v>0</v>
      </c>
      <c r="AH949">
        <f t="shared" si="14"/>
        <v>9.7795163584637277E-3</v>
      </c>
    </row>
    <row r="950" spans="1:34" x14ac:dyDescent="0.25">
      <c r="A950" s="1">
        <v>44890</v>
      </c>
      <c r="B950">
        <v>498</v>
      </c>
      <c r="C950">
        <v>4.0322580000000004E-3</v>
      </c>
      <c r="D950">
        <v>727</v>
      </c>
      <c r="E950">
        <v>-1.373626E-3</v>
      </c>
      <c r="F950">
        <v>5.4058839999999997E-3</v>
      </c>
      <c r="G950">
        <v>5.4058839999999997E-3</v>
      </c>
      <c r="H950">
        <v>1.0468714E-2</v>
      </c>
      <c r="I950">
        <v>1.7909097999999998E-2</v>
      </c>
      <c r="J950">
        <v>1</v>
      </c>
      <c r="K950">
        <v>0</v>
      </c>
      <c r="L950">
        <v>0</v>
      </c>
      <c r="M950">
        <v>5</v>
      </c>
      <c r="N950">
        <v>0.49730791299999999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W950">
        <v>0</v>
      </c>
      <c r="X950">
        <v>0</v>
      </c>
      <c r="Y950">
        <v>0</v>
      </c>
      <c r="Z950">
        <v>1.7909097999999998E-2</v>
      </c>
      <c r="AA950">
        <v>0</v>
      </c>
      <c r="AB950" t="s">
        <v>33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f t="shared" si="14"/>
        <v>0</v>
      </c>
    </row>
    <row r="951" spans="1:34" x14ac:dyDescent="0.25">
      <c r="A951" s="1">
        <v>44893</v>
      </c>
      <c r="B951">
        <v>480.5</v>
      </c>
      <c r="C951">
        <v>-3.5140562E-2</v>
      </c>
      <c r="D951">
        <v>703</v>
      </c>
      <c r="E951">
        <v>-3.3012380000000001E-2</v>
      </c>
      <c r="F951">
        <v>-2.1281830000000001E-3</v>
      </c>
      <c r="G951">
        <v>2.1281830000000001E-3</v>
      </c>
      <c r="H951">
        <v>2.0426608999999998E-2</v>
      </c>
      <c r="I951">
        <v>2.3839852000000002E-2</v>
      </c>
      <c r="J951">
        <v>0</v>
      </c>
      <c r="K951">
        <v>0</v>
      </c>
      <c r="L951">
        <v>0</v>
      </c>
      <c r="M951">
        <v>5</v>
      </c>
      <c r="N951">
        <v>1.3744535200000001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W951">
        <v>0</v>
      </c>
      <c r="X951">
        <v>0</v>
      </c>
      <c r="Y951">
        <v>0</v>
      </c>
      <c r="Z951">
        <v>2.3839852000000002E-2</v>
      </c>
      <c r="AA951">
        <v>0</v>
      </c>
      <c r="AB951" t="s">
        <v>33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f t="shared" si="14"/>
        <v>0</v>
      </c>
    </row>
    <row r="952" spans="1:34" x14ac:dyDescent="0.25">
      <c r="A952" s="1">
        <v>44894</v>
      </c>
      <c r="B952">
        <v>487</v>
      </c>
      <c r="C952">
        <v>1.3527575E-2</v>
      </c>
      <c r="D952">
        <v>713</v>
      </c>
      <c r="E952">
        <v>1.4224751000000001E-2</v>
      </c>
      <c r="F952">
        <v>-6.9717599999999998E-4</v>
      </c>
      <c r="G952">
        <v>6.9717599999999998E-4</v>
      </c>
      <c r="H952">
        <v>1.9322049000000001E-2</v>
      </c>
      <c r="I952">
        <v>2.4919693E-2</v>
      </c>
      <c r="J952">
        <v>0</v>
      </c>
      <c r="K952">
        <v>0</v>
      </c>
      <c r="L952">
        <v>0</v>
      </c>
      <c r="M952">
        <v>5</v>
      </c>
      <c r="N952">
        <v>1.539519801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W952">
        <v>0</v>
      </c>
      <c r="X952">
        <v>0</v>
      </c>
      <c r="Y952">
        <v>0</v>
      </c>
      <c r="Z952">
        <v>2.4919693E-2</v>
      </c>
      <c r="AA952">
        <v>0</v>
      </c>
      <c r="AB952" t="s">
        <v>33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f t="shared" si="14"/>
        <v>0</v>
      </c>
    </row>
    <row r="953" spans="1:34" x14ac:dyDescent="0.25">
      <c r="A953" s="1">
        <v>44895</v>
      </c>
      <c r="B953">
        <v>490</v>
      </c>
      <c r="C953">
        <v>6.1601640000000001E-3</v>
      </c>
      <c r="D953">
        <v>733</v>
      </c>
      <c r="E953">
        <v>2.8050491E-2</v>
      </c>
      <c r="F953">
        <v>-2.1890327000000001E-2</v>
      </c>
      <c r="G953">
        <v>2.1890327000000001E-2</v>
      </c>
      <c r="H953">
        <v>1.9595879E-2</v>
      </c>
      <c r="I953">
        <v>2.6537445999999999E-2</v>
      </c>
      <c r="J953">
        <v>0</v>
      </c>
      <c r="K953">
        <v>0</v>
      </c>
      <c r="L953">
        <v>0</v>
      </c>
      <c r="M953">
        <v>5</v>
      </c>
      <c r="N953">
        <v>6.8117086950000001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W953">
        <v>0</v>
      </c>
      <c r="X953">
        <v>0</v>
      </c>
      <c r="Y953">
        <v>0</v>
      </c>
      <c r="Z953">
        <v>2.6537445999999999E-2</v>
      </c>
      <c r="AA953">
        <v>0</v>
      </c>
      <c r="AB953" t="s">
        <v>33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f t="shared" si="14"/>
        <v>0</v>
      </c>
    </row>
    <row r="954" spans="1:34" x14ac:dyDescent="0.25">
      <c r="A954" s="1">
        <v>44896</v>
      </c>
      <c r="B954">
        <v>498.5</v>
      </c>
      <c r="C954">
        <v>1.7346938999999999E-2</v>
      </c>
      <c r="D954">
        <v>741</v>
      </c>
      <c r="E954">
        <v>1.0914052E-2</v>
      </c>
      <c r="F954">
        <v>6.432887E-3</v>
      </c>
      <c r="G954">
        <v>6.432887E-3</v>
      </c>
      <c r="H954">
        <v>2.1011622000000001E-2</v>
      </c>
      <c r="I954">
        <v>2.3072069000000001E-2</v>
      </c>
      <c r="J954">
        <v>1</v>
      </c>
      <c r="K954">
        <v>0</v>
      </c>
      <c r="L954">
        <v>0</v>
      </c>
      <c r="M954">
        <v>5</v>
      </c>
      <c r="N954">
        <v>0.93522522500000005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W954">
        <v>0</v>
      </c>
      <c r="X954">
        <v>0</v>
      </c>
      <c r="Y954">
        <v>0</v>
      </c>
      <c r="Z954">
        <v>2.3072069000000001E-2</v>
      </c>
      <c r="AA954">
        <v>0</v>
      </c>
      <c r="AB954" t="s">
        <v>33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f t="shared" si="14"/>
        <v>0</v>
      </c>
    </row>
    <row r="955" spans="1:34" x14ac:dyDescent="0.25">
      <c r="A955" s="1">
        <v>44897</v>
      </c>
      <c r="B955">
        <v>492.5</v>
      </c>
      <c r="C955">
        <v>-1.2036108E-2</v>
      </c>
      <c r="D955">
        <v>739</v>
      </c>
      <c r="E955">
        <v>-2.6990550000000001E-3</v>
      </c>
      <c r="F955">
        <v>-9.3370529999999997E-3</v>
      </c>
      <c r="G955">
        <v>9.3370529999999997E-3</v>
      </c>
      <c r="H955">
        <v>2.1685329999999999E-2</v>
      </c>
      <c r="I955">
        <v>2.3153277999999999E-2</v>
      </c>
      <c r="J955">
        <v>0</v>
      </c>
      <c r="K955">
        <v>0</v>
      </c>
      <c r="L955">
        <v>0</v>
      </c>
      <c r="M955">
        <v>5</v>
      </c>
      <c r="N955">
        <v>0.33648360100000002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W955">
        <v>0</v>
      </c>
      <c r="X955">
        <v>0</v>
      </c>
      <c r="Y955">
        <v>0</v>
      </c>
      <c r="Z955">
        <v>2.3153277999999999E-2</v>
      </c>
      <c r="AA955">
        <v>0</v>
      </c>
      <c r="AB955" t="s">
        <v>33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f t="shared" si="14"/>
        <v>0</v>
      </c>
    </row>
    <row r="956" spans="1:34" x14ac:dyDescent="0.25">
      <c r="A956" s="1">
        <v>44900</v>
      </c>
      <c r="B956">
        <v>489</v>
      </c>
      <c r="C956">
        <v>-7.1065989999999999E-3</v>
      </c>
      <c r="D956">
        <v>739</v>
      </c>
      <c r="E956">
        <v>0</v>
      </c>
      <c r="F956">
        <v>-7.1065989999999999E-3</v>
      </c>
      <c r="G956">
        <v>7.1065989999999999E-3</v>
      </c>
      <c r="H956">
        <v>1.2778951E-2</v>
      </c>
      <c r="I956">
        <v>1.2305712E-2</v>
      </c>
      <c r="J956">
        <v>0</v>
      </c>
      <c r="K956">
        <v>0</v>
      </c>
      <c r="L956">
        <v>0</v>
      </c>
      <c r="M956">
        <v>5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W956">
        <v>0</v>
      </c>
      <c r="X956">
        <v>0</v>
      </c>
      <c r="Y956">
        <v>0</v>
      </c>
      <c r="Z956">
        <v>1.2778951E-2</v>
      </c>
      <c r="AA956">
        <v>0</v>
      </c>
      <c r="AB956" t="s">
        <v>33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f t="shared" si="14"/>
        <v>0</v>
      </c>
    </row>
    <row r="957" spans="1:34" x14ac:dyDescent="0.25">
      <c r="A957" s="1">
        <v>44901</v>
      </c>
      <c r="B957">
        <v>478</v>
      </c>
      <c r="C957">
        <v>-2.2494888000000001E-2</v>
      </c>
      <c r="D957">
        <v>725</v>
      </c>
      <c r="E957">
        <v>-1.8944519999999999E-2</v>
      </c>
      <c r="F957">
        <v>-3.5503679999999999E-3</v>
      </c>
      <c r="G957">
        <v>3.5503679999999999E-3</v>
      </c>
      <c r="H957">
        <v>1.5608591999999999E-2</v>
      </c>
      <c r="I957">
        <v>1.7407779000000002E-2</v>
      </c>
      <c r="J957">
        <v>0</v>
      </c>
      <c r="K957">
        <v>0</v>
      </c>
      <c r="L957">
        <v>0</v>
      </c>
      <c r="M957">
        <v>5</v>
      </c>
      <c r="N957">
        <v>1.2773499079999999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W957">
        <v>0</v>
      </c>
      <c r="X957">
        <v>0</v>
      </c>
      <c r="Y957">
        <v>0</v>
      </c>
      <c r="Z957">
        <v>1.7407779000000002E-2</v>
      </c>
      <c r="AA957">
        <v>0</v>
      </c>
      <c r="AB957" t="s">
        <v>33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f t="shared" si="14"/>
        <v>0</v>
      </c>
    </row>
    <row r="958" spans="1:34" x14ac:dyDescent="0.25">
      <c r="A958" s="1">
        <v>44902</v>
      </c>
      <c r="B958">
        <v>475</v>
      </c>
      <c r="C958">
        <v>-6.2761509999999998E-3</v>
      </c>
      <c r="D958">
        <v>716</v>
      </c>
      <c r="E958">
        <v>-1.2413792999999999E-2</v>
      </c>
      <c r="F958">
        <v>6.1376419999999996E-3</v>
      </c>
      <c r="G958">
        <v>6.1376419999999996E-3</v>
      </c>
      <c r="H958">
        <v>1.4618755000000001E-2</v>
      </c>
      <c r="I958">
        <v>1.1535553E-2</v>
      </c>
      <c r="J958">
        <v>1</v>
      </c>
      <c r="K958">
        <v>0</v>
      </c>
      <c r="L958">
        <v>0</v>
      </c>
      <c r="M958">
        <v>5</v>
      </c>
      <c r="N958">
        <v>2.98147078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W958">
        <v>0</v>
      </c>
      <c r="X958">
        <v>0</v>
      </c>
      <c r="Y958">
        <v>0</v>
      </c>
      <c r="Z958">
        <v>1.4618755000000001E-2</v>
      </c>
      <c r="AA958">
        <v>0</v>
      </c>
      <c r="AB958" t="s">
        <v>33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f t="shared" si="14"/>
        <v>0</v>
      </c>
    </row>
    <row r="959" spans="1:34" x14ac:dyDescent="0.25">
      <c r="A959" s="1">
        <v>44903</v>
      </c>
      <c r="B959">
        <v>471.5</v>
      </c>
      <c r="C959">
        <v>-7.368421E-3</v>
      </c>
      <c r="D959">
        <v>705</v>
      </c>
      <c r="E959">
        <v>-1.5363128E-2</v>
      </c>
      <c r="F959">
        <v>7.9947070000000002E-3</v>
      </c>
      <c r="G959">
        <v>7.9947070000000002E-3</v>
      </c>
      <c r="H959">
        <v>6.7795970000000001E-3</v>
      </c>
      <c r="I959">
        <v>8.1827649999999998E-3</v>
      </c>
      <c r="J959">
        <v>1</v>
      </c>
      <c r="K959">
        <v>0</v>
      </c>
      <c r="L959">
        <v>0</v>
      </c>
      <c r="M959">
        <v>5</v>
      </c>
      <c r="N959">
        <v>3.1175444049999999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W959">
        <v>0</v>
      </c>
      <c r="X959">
        <v>0</v>
      </c>
      <c r="Y959">
        <v>0</v>
      </c>
      <c r="Z959">
        <v>8.1827649999999998E-3</v>
      </c>
      <c r="AA959">
        <v>0</v>
      </c>
      <c r="AB959" t="s">
        <v>33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f t="shared" si="14"/>
        <v>0</v>
      </c>
    </row>
    <row r="960" spans="1:34" x14ac:dyDescent="0.25">
      <c r="A960" s="1">
        <v>44904</v>
      </c>
      <c r="B960">
        <v>481.5</v>
      </c>
      <c r="C960">
        <v>2.1208907999999999E-2</v>
      </c>
      <c r="D960">
        <v>729</v>
      </c>
      <c r="E960">
        <v>3.4042553000000003E-2</v>
      </c>
      <c r="F960">
        <v>-1.2833644999999999E-2</v>
      </c>
      <c r="G960">
        <v>1.2833644999999999E-2</v>
      </c>
      <c r="H960">
        <v>1.5834282000000002E-2</v>
      </c>
      <c r="I960">
        <v>2.1655065000000001E-2</v>
      </c>
      <c r="J960">
        <v>0</v>
      </c>
      <c r="K960">
        <v>0</v>
      </c>
      <c r="L960">
        <v>0</v>
      </c>
      <c r="M960">
        <v>5</v>
      </c>
      <c r="N960">
        <v>2.4301610660000001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W960">
        <v>0</v>
      </c>
      <c r="X960">
        <v>0</v>
      </c>
      <c r="Y960">
        <v>0</v>
      </c>
      <c r="Z960">
        <v>2.1655065000000001E-2</v>
      </c>
      <c r="AA960">
        <v>0</v>
      </c>
      <c r="AB960" t="s">
        <v>33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f t="shared" si="14"/>
        <v>0</v>
      </c>
    </row>
    <row r="961" spans="1:34" x14ac:dyDescent="0.25">
      <c r="A961" s="1">
        <v>44907</v>
      </c>
      <c r="B961">
        <v>475</v>
      </c>
      <c r="C961">
        <v>-1.3499481000000001E-2</v>
      </c>
      <c r="D961">
        <v>712</v>
      </c>
      <c r="E961">
        <v>-2.3319616000000001E-2</v>
      </c>
      <c r="F961">
        <v>9.8201350000000007E-3</v>
      </c>
      <c r="G961">
        <v>9.8201350000000007E-3</v>
      </c>
      <c r="H961">
        <v>1.6356223E-2</v>
      </c>
      <c r="I961">
        <v>2.3412306000000001E-2</v>
      </c>
      <c r="J961">
        <v>1</v>
      </c>
      <c r="K961">
        <v>0</v>
      </c>
      <c r="L961">
        <v>0</v>
      </c>
      <c r="M961">
        <v>5</v>
      </c>
      <c r="N961">
        <v>2.5893497280000002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W961">
        <v>0</v>
      </c>
      <c r="X961">
        <v>0</v>
      </c>
      <c r="Y961">
        <v>0</v>
      </c>
      <c r="Z961">
        <v>2.3412306000000001E-2</v>
      </c>
      <c r="AA961">
        <v>0</v>
      </c>
      <c r="AB961" t="s">
        <v>33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f t="shared" si="14"/>
        <v>0</v>
      </c>
    </row>
    <row r="962" spans="1:34" x14ac:dyDescent="0.25">
      <c r="A962" s="1">
        <v>44908</v>
      </c>
      <c r="B962">
        <v>471.5</v>
      </c>
      <c r="C962">
        <v>-7.368421E-3</v>
      </c>
      <c r="D962">
        <v>709</v>
      </c>
      <c r="E962">
        <v>-4.2134829999999996E-3</v>
      </c>
      <c r="F962">
        <v>-3.1549379999999999E-3</v>
      </c>
      <c r="G962">
        <v>3.1549379999999999E-3</v>
      </c>
      <c r="H962">
        <v>1.3643992000000001E-2</v>
      </c>
      <c r="I962">
        <v>2.2472874E-2</v>
      </c>
      <c r="J962">
        <v>0</v>
      </c>
      <c r="K962">
        <v>0</v>
      </c>
      <c r="L962">
        <v>0</v>
      </c>
      <c r="M962">
        <v>5</v>
      </c>
      <c r="N962">
        <v>0.85986716299999999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W962">
        <v>0</v>
      </c>
      <c r="X962">
        <v>0</v>
      </c>
      <c r="Y962">
        <v>0</v>
      </c>
      <c r="Z962">
        <v>2.2472874E-2</v>
      </c>
      <c r="AA962">
        <v>0</v>
      </c>
      <c r="AB962" t="s">
        <v>33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f t="shared" si="14"/>
        <v>0</v>
      </c>
    </row>
    <row r="963" spans="1:34" x14ac:dyDescent="0.25">
      <c r="A963" s="1">
        <v>44909</v>
      </c>
      <c r="B963">
        <v>480.5</v>
      </c>
      <c r="C963">
        <v>1.9088016999999999E-2</v>
      </c>
      <c r="D963">
        <v>718</v>
      </c>
      <c r="E963">
        <v>1.2693935E-2</v>
      </c>
      <c r="F963">
        <v>6.3940819999999997E-3</v>
      </c>
      <c r="G963">
        <v>6.3940819999999997E-3</v>
      </c>
      <c r="H963">
        <v>1.6400471E-2</v>
      </c>
      <c r="I963">
        <v>2.2992746000000001E-2</v>
      </c>
      <c r="J963">
        <v>1</v>
      </c>
      <c r="K963">
        <v>0</v>
      </c>
      <c r="L963">
        <v>0</v>
      </c>
      <c r="M963">
        <v>5</v>
      </c>
      <c r="N963">
        <v>0.993725682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W963">
        <v>0</v>
      </c>
      <c r="X963">
        <v>0</v>
      </c>
      <c r="Y963">
        <v>0</v>
      </c>
      <c r="Z963">
        <v>2.2992746000000001E-2</v>
      </c>
      <c r="AA963">
        <v>0</v>
      </c>
      <c r="AB963" t="s">
        <v>33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f t="shared" ref="AH963:AH1026" si="15">IF(AF963&lt;&gt;0,AF963/AA963,0)</f>
        <v>0</v>
      </c>
    </row>
    <row r="964" spans="1:34" x14ac:dyDescent="0.25">
      <c r="A964" s="1">
        <v>44910</v>
      </c>
      <c r="B964">
        <v>480.5</v>
      </c>
      <c r="C964">
        <v>0</v>
      </c>
      <c r="D964">
        <v>681</v>
      </c>
      <c r="E964">
        <v>-5.1532032999999998E-2</v>
      </c>
      <c r="F964">
        <v>5.1532032999999998E-2</v>
      </c>
      <c r="G964">
        <v>5.1532032999999998E-2</v>
      </c>
      <c r="H964">
        <v>1.5614115E-2</v>
      </c>
      <c r="I964">
        <v>3.2894192000000003E-2</v>
      </c>
      <c r="J964">
        <v>1</v>
      </c>
      <c r="K964">
        <v>0</v>
      </c>
      <c r="L964">
        <v>0</v>
      </c>
      <c r="M964">
        <v>5</v>
      </c>
      <c r="N964" t="s">
        <v>36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W964">
        <v>0</v>
      </c>
      <c r="X964">
        <v>0</v>
      </c>
      <c r="Y964">
        <v>0</v>
      </c>
      <c r="Z964">
        <v>3.2894192000000003E-2</v>
      </c>
      <c r="AA964">
        <v>0</v>
      </c>
      <c r="AB964" t="s">
        <v>33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f t="shared" si="15"/>
        <v>0</v>
      </c>
    </row>
    <row r="965" spans="1:34" x14ac:dyDescent="0.25">
      <c r="A965" s="1">
        <v>44911</v>
      </c>
      <c r="B965">
        <v>471</v>
      </c>
      <c r="C965">
        <v>-1.9771072000000001E-2</v>
      </c>
      <c r="D965">
        <v>660</v>
      </c>
      <c r="E965">
        <v>-3.0837004000000001E-2</v>
      </c>
      <c r="F965">
        <v>1.1065933E-2</v>
      </c>
      <c r="G965">
        <v>1.1065933E-2</v>
      </c>
      <c r="H965">
        <v>1.4990735E-2</v>
      </c>
      <c r="I965">
        <v>2.4694524999999998E-2</v>
      </c>
      <c r="J965">
        <v>1</v>
      </c>
      <c r="K965">
        <v>0</v>
      </c>
      <c r="L965">
        <v>0</v>
      </c>
      <c r="M965">
        <v>5</v>
      </c>
      <c r="N965">
        <v>2.1855713950000002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W965">
        <v>0</v>
      </c>
      <c r="X965">
        <v>0</v>
      </c>
      <c r="Y965">
        <v>0</v>
      </c>
      <c r="Z965">
        <v>2.4694524999999998E-2</v>
      </c>
      <c r="AA965">
        <v>0</v>
      </c>
      <c r="AB965" t="s">
        <v>33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f t="shared" si="15"/>
        <v>0</v>
      </c>
    </row>
    <row r="966" spans="1:34" x14ac:dyDescent="0.25">
      <c r="A966" s="1">
        <v>44914</v>
      </c>
      <c r="B966">
        <v>466.5</v>
      </c>
      <c r="C966">
        <v>-9.5541399999999992E-3</v>
      </c>
      <c r="D966">
        <v>656</v>
      </c>
      <c r="E966">
        <v>-6.0606059999999996E-3</v>
      </c>
      <c r="F966">
        <v>-3.493534E-3</v>
      </c>
      <c r="G966">
        <v>3.493534E-3</v>
      </c>
      <c r="H966">
        <v>1.4481292999999999E-2</v>
      </c>
      <c r="I966">
        <v>2.5217638000000001E-2</v>
      </c>
      <c r="J966">
        <v>0</v>
      </c>
      <c r="K966">
        <v>0</v>
      </c>
      <c r="L966">
        <v>0</v>
      </c>
      <c r="M966">
        <v>5</v>
      </c>
      <c r="N966">
        <v>0.89202420800000004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W966">
        <v>0</v>
      </c>
      <c r="X966">
        <v>0</v>
      </c>
      <c r="Y966">
        <v>0</v>
      </c>
      <c r="Z966">
        <v>2.5217638000000001E-2</v>
      </c>
      <c r="AA966">
        <v>0</v>
      </c>
      <c r="AB966" t="s">
        <v>33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f t="shared" si="15"/>
        <v>0</v>
      </c>
    </row>
    <row r="967" spans="1:34" x14ac:dyDescent="0.25">
      <c r="A967" s="1">
        <v>44915</v>
      </c>
      <c r="B967">
        <v>457.5</v>
      </c>
      <c r="C967">
        <v>-1.9292605000000001E-2</v>
      </c>
      <c r="D967">
        <v>646</v>
      </c>
      <c r="E967">
        <v>-1.5243902E-2</v>
      </c>
      <c r="F967">
        <v>-4.0487020000000004E-3</v>
      </c>
      <c r="G967">
        <v>4.0487020000000004E-3</v>
      </c>
      <c r="H967">
        <v>1.6158063E-2</v>
      </c>
      <c r="I967">
        <v>2.4399061999999999E-2</v>
      </c>
      <c r="J967">
        <v>0</v>
      </c>
      <c r="K967">
        <v>0</v>
      </c>
      <c r="L967">
        <v>0</v>
      </c>
      <c r="M967">
        <v>5</v>
      </c>
      <c r="N967">
        <v>1.115698165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W967">
        <v>0</v>
      </c>
      <c r="X967">
        <v>0</v>
      </c>
      <c r="Y967">
        <v>0</v>
      </c>
      <c r="Z967">
        <v>2.4399061999999999E-2</v>
      </c>
      <c r="AA967">
        <v>0</v>
      </c>
      <c r="AB967" t="s">
        <v>33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f t="shared" si="15"/>
        <v>0</v>
      </c>
    </row>
    <row r="968" spans="1:34" x14ac:dyDescent="0.25">
      <c r="A968" s="1">
        <v>44916</v>
      </c>
      <c r="B968">
        <v>459</v>
      </c>
      <c r="C968">
        <v>3.278689E-3</v>
      </c>
      <c r="D968">
        <v>654</v>
      </c>
      <c r="E968">
        <v>1.2383900999999999E-2</v>
      </c>
      <c r="F968">
        <v>-9.1052119999999997E-3</v>
      </c>
      <c r="G968">
        <v>9.1052119999999997E-3</v>
      </c>
      <c r="H968">
        <v>1.0653684E-2</v>
      </c>
      <c r="I968">
        <v>2.4301131E-2</v>
      </c>
      <c r="J968">
        <v>0</v>
      </c>
      <c r="K968">
        <v>0</v>
      </c>
      <c r="L968">
        <v>0</v>
      </c>
      <c r="M968">
        <v>5</v>
      </c>
      <c r="N968">
        <v>5.3817357699999997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W968">
        <v>0</v>
      </c>
      <c r="X968">
        <v>0</v>
      </c>
      <c r="Y968">
        <v>0</v>
      </c>
      <c r="Z968">
        <v>2.4301131E-2</v>
      </c>
      <c r="AA968">
        <v>0</v>
      </c>
      <c r="AB968" t="s">
        <v>33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f t="shared" si="15"/>
        <v>0</v>
      </c>
    </row>
    <row r="969" spans="1:34" x14ac:dyDescent="0.25">
      <c r="A969" s="1">
        <v>44917</v>
      </c>
      <c r="B969">
        <v>468</v>
      </c>
      <c r="C969">
        <v>1.9607843E-2</v>
      </c>
      <c r="D969">
        <v>661</v>
      </c>
      <c r="E969">
        <v>1.0703364E-2</v>
      </c>
      <c r="F969">
        <v>8.9044789999999999E-3</v>
      </c>
      <c r="G969">
        <v>8.9044789999999999E-3</v>
      </c>
      <c r="H969">
        <v>1.6712114E-2</v>
      </c>
      <c r="I969">
        <v>1.8159855999999999E-2</v>
      </c>
      <c r="J969">
        <v>1</v>
      </c>
      <c r="K969">
        <v>0</v>
      </c>
      <c r="L969">
        <v>0</v>
      </c>
      <c r="M969">
        <v>5</v>
      </c>
      <c r="N969">
        <v>0.77098525799999995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W969">
        <v>0</v>
      </c>
      <c r="X969">
        <v>0</v>
      </c>
      <c r="Y969">
        <v>0</v>
      </c>
      <c r="Z969">
        <v>1.8159855999999999E-2</v>
      </c>
      <c r="AA969">
        <v>0</v>
      </c>
      <c r="AB969" t="s">
        <v>33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f t="shared" si="15"/>
        <v>0</v>
      </c>
    </row>
    <row r="970" spans="1:34" x14ac:dyDescent="0.25">
      <c r="A970" s="1">
        <v>44918</v>
      </c>
      <c r="B970">
        <v>455</v>
      </c>
      <c r="C970">
        <v>-2.7777777999999999E-2</v>
      </c>
      <c r="D970">
        <v>660</v>
      </c>
      <c r="E970">
        <v>-1.5128590000000001E-3</v>
      </c>
      <c r="F970">
        <v>-2.6264918000000002E-2</v>
      </c>
      <c r="G970">
        <v>2.6264918000000002E-2</v>
      </c>
      <c r="H970">
        <v>1.8726038E-2</v>
      </c>
      <c r="I970">
        <v>1.1611467E-2</v>
      </c>
      <c r="J970">
        <v>0</v>
      </c>
      <c r="K970">
        <v>1</v>
      </c>
      <c r="L970">
        <v>1</v>
      </c>
      <c r="M970">
        <v>5</v>
      </c>
      <c r="N970">
        <v>7.9001180000000004E-2</v>
      </c>
      <c r="O970">
        <v>1</v>
      </c>
      <c r="P970">
        <v>-5</v>
      </c>
      <c r="Q970">
        <v>6</v>
      </c>
      <c r="R970">
        <v>-455</v>
      </c>
      <c r="S970">
        <v>3300</v>
      </c>
      <c r="T970">
        <v>0</v>
      </c>
      <c r="U970">
        <v>0</v>
      </c>
      <c r="V970" t="s">
        <v>34</v>
      </c>
      <c r="W970">
        <v>-455</v>
      </c>
      <c r="X970">
        <v>3300</v>
      </c>
      <c r="Y970">
        <v>0</v>
      </c>
      <c r="Z970">
        <v>1.8726038E-2</v>
      </c>
      <c r="AA970">
        <v>3755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3755</v>
      </c>
      <c r="AH970">
        <f t="shared" si="15"/>
        <v>0</v>
      </c>
    </row>
    <row r="971" spans="1:34" x14ac:dyDescent="0.25">
      <c r="A971" s="1">
        <v>44921</v>
      </c>
      <c r="B971">
        <v>456.5</v>
      </c>
      <c r="C971">
        <v>3.2967029999999998E-3</v>
      </c>
      <c r="D971">
        <v>651</v>
      </c>
      <c r="E971">
        <v>-1.3636364E-2</v>
      </c>
      <c r="F971">
        <v>1.6933067E-2</v>
      </c>
      <c r="G971">
        <v>1.6933067E-2</v>
      </c>
      <c r="H971">
        <v>1.9122242000000001E-2</v>
      </c>
      <c r="I971">
        <v>1.3017907E-2</v>
      </c>
      <c r="J971">
        <v>1</v>
      </c>
      <c r="K971">
        <v>0</v>
      </c>
      <c r="L971">
        <v>-1</v>
      </c>
      <c r="M971">
        <v>5</v>
      </c>
      <c r="N971">
        <v>5.8987354380000001</v>
      </c>
      <c r="O971">
        <v>-1</v>
      </c>
      <c r="P971">
        <v>5</v>
      </c>
      <c r="Q971">
        <v>6</v>
      </c>
      <c r="R971">
        <v>456.5</v>
      </c>
      <c r="S971">
        <v>-3255</v>
      </c>
      <c r="T971">
        <v>1.5</v>
      </c>
      <c r="U971">
        <v>45</v>
      </c>
      <c r="V971" t="s">
        <v>35</v>
      </c>
      <c r="W971">
        <v>456.5</v>
      </c>
      <c r="X971">
        <v>-3255</v>
      </c>
      <c r="Y971">
        <v>46.5</v>
      </c>
      <c r="Z971">
        <v>1.9122242000000001E-2</v>
      </c>
      <c r="AA971">
        <v>3711.5</v>
      </c>
      <c r="AB971">
        <v>0</v>
      </c>
      <c r="AC971">
        <v>46.5</v>
      </c>
      <c r="AD971">
        <v>1.2528627000000001E-2</v>
      </c>
      <c r="AE971">
        <v>0</v>
      </c>
      <c r="AF971">
        <v>46.5</v>
      </c>
      <c r="AG971">
        <v>0</v>
      </c>
      <c r="AH971">
        <f t="shared" si="15"/>
        <v>1.2528627239660514E-2</v>
      </c>
    </row>
    <row r="972" spans="1:34" x14ac:dyDescent="0.25">
      <c r="A972" s="1">
        <v>44922</v>
      </c>
      <c r="B972">
        <v>457</v>
      </c>
      <c r="C972">
        <v>1.0952900000000001E-3</v>
      </c>
      <c r="D972">
        <v>656</v>
      </c>
      <c r="E972">
        <v>7.6804919999999997E-3</v>
      </c>
      <c r="F972">
        <v>-6.5852009999999997E-3</v>
      </c>
      <c r="G972">
        <v>6.5852009999999997E-3</v>
      </c>
      <c r="H972">
        <v>1.7167122E-2</v>
      </c>
      <c r="I972">
        <v>1.0797736E-2</v>
      </c>
      <c r="J972">
        <v>0</v>
      </c>
      <c r="K972">
        <v>0</v>
      </c>
      <c r="L972">
        <v>0</v>
      </c>
      <c r="M972">
        <v>5</v>
      </c>
      <c r="N972">
        <v>10.06577996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W972">
        <v>0</v>
      </c>
      <c r="X972">
        <v>0</v>
      </c>
      <c r="Y972">
        <v>0</v>
      </c>
      <c r="Z972">
        <v>1.7167122E-2</v>
      </c>
      <c r="AA972">
        <v>0</v>
      </c>
      <c r="AB972" t="s">
        <v>33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f t="shared" si="15"/>
        <v>0</v>
      </c>
    </row>
    <row r="973" spans="1:34" x14ac:dyDescent="0.25">
      <c r="A973" s="1">
        <v>44923</v>
      </c>
      <c r="B973">
        <v>451</v>
      </c>
      <c r="C973">
        <v>-1.3129103E-2</v>
      </c>
      <c r="D973">
        <v>638</v>
      </c>
      <c r="E973">
        <v>-2.7439023999999999E-2</v>
      </c>
      <c r="F973">
        <v>1.4309921999999999E-2</v>
      </c>
      <c r="G973">
        <v>1.4309921999999999E-2</v>
      </c>
      <c r="H973">
        <v>1.7911896E-2</v>
      </c>
      <c r="I973">
        <v>1.5791775000000001E-2</v>
      </c>
      <c r="J973">
        <v>1</v>
      </c>
      <c r="K973">
        <v>0</v>
      </c>
      <c r="L973">
        <v>0</v>
      </c>
      <c r="M973">
        <v>5</v>
      </c>
      <c r="N973">
        <v>2.956499108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W973">
        <v>0</v>
      </c>
      <c r="X973">
        <v>0</v>
      </c>
      <c r="Y973">
        <v>0</v>
      </c>
      <c r="Z973">
        <v>1.7911896E-2</v>
      </c>
      <c r="AA973">
        <v>0</v>
      </c>
      <c r="AB973" t="s">
        <v>33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f t="shared" si="15"/>
        <v>0</v>
      </c>
    </row>
    <row r="974" spans="1:34" x14ac:dyDescent="0.25">
      <c r="A974" s="1">
        <v>44924</v>
      </c>
      <c r="B974">
        <v>446</v>
      </c>
      <c r="C974">
        <v>-1.1086475E-2</v>
      </c>
      <c r="D974">
        <v>629</v>
      </c>
      <c r="E974">
        <v>-1.4106583000000001E-2</v>
      </c>
      <c r="F974">
        <v>3.020109E-3</v>
      </c>
      <c r="G974">
        <v>3.020109E-3</v>
      </c>
      <c r="H974">
        <v>1.2507779E-2</v>
      </c>
      <c r="I974">
        <v>1.3403765999999999E-2</v>
      </c>
      <c r="J974">
        <v>1</v>
      </c>
      <c r="K974">
        <v>0</v>
      </c>
      <c r="L974">
        <v>0</v>
      </c>
      <c r="M974">
        <v>5</v>
      </c>
      <c r="N974">
        <v>1.794502861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W974">
        <v>0</v>
      </c>
      <c r="X974">
        <v>0</v>
      </c>
      <c r="Y974">
        <v>0</v>
      </c>
      <c r="Z974">
        <v>1.3403765999999999E-2</v>
      </c>
      <c r="AA974">
        <v>0</v>
      </c>
      <c r="AB974" t="s">
        <v>33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f t="shared" si="15"/>
        <v>0</v>
      </c>
    </row>
    <row r="975" spans="1:34" x14ac:dyDescent="0.25">
      <c r="A975" s="1">
        <v>44925</v>
      </c>
      <c r="B975">
        <v>448.5</v>
      </c>
      <c r="C975">
        <v>5.6053810000000004E-3</v>
      </c>
      <c r="D975">
        <v>625</v>
      </c>
      <c r="E975">
        <v>-6.3593E-3</v>
      </c>
      <c r="F975">
        <v>1.1964682000000001E-2</v>
      </c>
      <c r="G975">
        <v>1.1964682000000001E-2</v>
      </c>
      <c r="H975">
        <v>8.6362609999999992E-3</v>
      </c>
      <c r="I975">
        <v>1.2816787E-2</v>
      </c>
      <c r="J975">
        <v>1</v>
      </c>
      <c r="K975">
        <v>0</v>
      </c>
      <c r="L975">
        <v>0</v>
      </c>
      <c r="M975">
        <v>5</v>
      </c>
      <c r="N975">
        <v>1.5809632179999999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W975">
        <v>0</v>
      </c>
      <c r="X975">
        <v>0</v>
      </c>
      <c r="Y975">
        <v>0</v>
      </c>
      <c r="Z975">
        <v>1.2816787E-2</v>
      </c>
      <c r="AA975">
        <v>0</v>
      </c>
      <c r="AB975" t="s">
        <v>33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f t="shared" si="15"/>
        <v>0</v>
      </c>
    </row>
    <row r="976" spans="1:34" x14ac:dyDescent="0.25">
      <c r="A976" s="1">
        <v>44929</v>
      </c>
      <c r="B976">
        <v>453</v>
      </c>
      <c r="C976">
        <v>1.0033445E-2</v>
      </c>
      <c r="D976">
        <v>644</v>
      </c>
      <c r="E976">
        <v>3.04E-2</v>
      </c>
      <c r="F976">
        <v>-2.0366555000000001E-2</v>
      </c>
      <c r="G976">
        <v>2.0366555000000001E-2</v>
      </c>
      <c r="H976">
        <v>1.0214925E-2</v>
      </c>
      <c r="I976">
        <v>2.2114376000000002E-2</v>
      </c>
      <c r="J976">
        <v>0</v>
      </c>
      <c r="K976">
        <v>0</v>
      </c>
      <c r="L976">
        <v>0</v>
      </c>
      <c r="M976">
        <v>5</v>
      </c>
      <c r="N976">
        <v>4.3073601180000001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W976">
        <v>0</v>
      </c>
      <c r="X976">
        <v>0</v>
      </c>
      <c r="Y976">
        <v>0</v>
      </c>
      <c r="Z976">
        <v>2.2114376000000002E-2</v>
      </c>
      <c r="AA976">
        <v>0</v>
      </c>
      <c r="AB976" t="s">
        <v>33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f t="shared" si="15"/>
        <v>0</v>
      </c>
    </row>
    <row r="977" spans="1:34" x14ac:dyDescent="0.25">
      <c r="A977" s="1">
        <v>44930</v>
      </c>
      <c r="B977">
        <v>449.5</v>
      </c>
      <c r="C977">
        <v>-7.726269E-3</v>
      </c>
      <c r="D977">
        <v>636</v>
      </c>
      <c r="E977">
        <v>-1.242236E-2</v>
      </c>
      <c r="F977">
        <v>4.6960910000000003E-3</v>
      </c>
      <c r="G977">
        <v>4.6960910000000003E-3</v>
      </c>
      <c r="H977">
        <v>1.0415267000000001E-2</v>
      </c>
      <c r="I977">
        <v>2.1746741999999999E-2</v>
      </c>
      <c r="J977">
        <v>1</v>
      </c>
      <c r="K977">
        <v>0</v>
      </c>
      <c r="L977">
        <v>0</v>
      </c>
      <c r="M977">
        <v>5</v>
      </c>
      <c r="N977">
        <v>2.2748967850000001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W977">
        <v>0</v>
      </c>
      <c r="X977">
        <v>0</v>
      </c>
      <c r="Y977">
        <v>0</v>
      </c>
      <c r="Z977">
        <v>2.1746741999999999E-2</v>
      </c>
      <c r="AA977">
        <v>0</v>
      </c>
      <c r="AB977" t="s">
        <v>33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f t="shared" si="15"/>
        <v>0</v>
      </c>
    </row>
    <row r="978" spans="1:34" x14ac:dyDescent="0.25">
      <c r="A978" s="1">
        <v>44931</v>
      </c>
      <c r="B978">
        <v>458.5</v>
      </c>
      <c r="C978">
        <v>2.0022247E-2</v>
      </c>
      <c r="D978">
        <v>631</v>
      </c>
      <c r="E978">
        <v>-7.8616350000000005E-3</v>
      </c>
      <c r="F978">
        <v>2.7883881999999999E-2</v>
      </c>
      <c r="G978">
        <v>2.7883881999999999E-2</v>
      </c>
      <c r="H978">
        <v>1.2833673E-2</v>
      </c>
      <c r="I978">
        <v>1.8427512E-2</v>
      </c>
      <c r="J978">
        <v>1</v>
      </c>
      <c r="K978">
        <v>1</v>
      </c>
      <c r="L978">
        <v>1</v>
      </c>
      <c r="M978">
        <v>5</v>
      </c>
      <c r="N978">
        <v>0.54036858700000001</v>
      </c>
      <c r="O978">
        <v>-3</v>
      </c>
      <c r="P978">
        <v>5</v>
      </c>
      <c r="Q978">
        <v>8</v>
      </c>
      <c r="R978">
        <v>1375.5</v>
      </c>
      <c r="S978">
        <v>-3155</v>
      </c>
      <c r="T978">
        <v>0</v>
      </c>
      <c r="U978">
        <v>0</v>
      </c>
      <c r="V978" t="s">
        <v>34</v>
      </c>
      <c r="W978">
        <v>1375.5</v>
      </c>
      <c r="X978">
        <v>-3155</v>
      </c>
      <c r="Y978">
        <v>0</v>
      </c>
      <c r="Z978">
        <v>1.8427512E-2</v>
      </c>
      <c r="AA978">
        <v>4530.5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4530.5</v>
      </c>
      <c r="AH978">
        <f t="shared" si="15"/>
        <v>0</v>
      </c>
    </row>
    <row r="979" spans="1:34" x14ac:dyDescent="0.25">
      <c r="A979" s="1">
        <v>44932</v>
      </c>
      <c r="B979">
        <v>458.5</v>
      </c>
      <c r="C979">
        <v>0</v>
      </c>
      <c r="D979">
        <v>660</v>
      </c>
      <c r="E979">
        <v>4.5958796000000003E-2</v>
      </c>
      <c r="F979">
        <v>-4.5958796000000003E-2</v>
      </c>
      <c r="G979">
        <v>4.5958796000000003E-2</v>
      </c>
      <c r="H979">
        <v>1.0447550999999999E-2</v>
      </c>
      <c r="I979">
        <v>2.6450925E-2</v>
      </c>
      <c r="J979">
        <v>0</v>
      </c>
      <c r="K979">
        <v>0</v>
      </c>
      <c r="L979">
        <v>-1</v>
      </c>
      <c r="M979">
        <v>5</v>
      </c>
      <c r="N979" t="s">
        <v>36</v>
      </c>
      <c r="O979">
        <v>3</v>
      </c>
      <c r="P979">
        <v>-5</v>
      </c>
      <c r="Q979">
        <v>8</v>
      </c>
      <c r="R979">
        <v>-1375.5</v>
      </c>
      <c r="S979">
        <v>3300</v>
      </c>
      <c r="T979">
        <v>0</v>
      </c>
      <c r="U979">
        <v>145</v>
      </c>
      <c r="V979" t="s">
        <v>35</v>
      </c>
      <c r="W979">
        <v>-1375.5</v>
      </c>
      <c r="X979">
        <v>3300</v>
      </c>
      <c r="Y979">
        <v>145</v>
      </c>
      <c r="Z979">
        <v>2.6450925E-2</v>
      </c>
      <c r="AA979">
        <v>4675.5</v>
      </c>
      <c r="AB979">
        <v>0</v>
      </c>
      <c r="AC979">
        <v>145</v>
      </c>
      <c r="AD979">
        <v>3.1012726000000001E-2</v>
      </c>
      <c r="AE979">
        <v>0</v>
      </c>
      <c r="AF979">
        <v>145</v>
      </c>
      <c r="AG979">
        <v>0</v>
      </c>
      <c r="AH979">
        <f t="shared" si="15"/>
        <v>3.1012725911667201E-2</v>
      </c>
    </row>
    <row r="980" spans="1:34" x14ac:dyDescent="0.25">
      <c r="A980" s="1">
        <v>44935</v>
      </c>
      <c r="B980">
        <v>481</v>
      </c>
      <c r="C980">
        <v>4.9073064E-2</v>
      </c>
      <c r="D980">
        <v>675</v>
      </c>
      <c r="E980">
        <v>2.2727272999999999E-2</v>
      </c>
      <c r="F980">
        <v>2.6345792E-2</v>
      </c>
      <c r="G980">
        <v>2.6345792E-2</v>
      </c>
      <c r="H980">
        <v>2.2078033E-2</v>
      </c>
      <c r="I980">
        <v>2.513497E-2</v>
      </c>
      <c r="J980">
        <v>1</v>
      </c>
      <c r="K980">
        <v>1</v>
      </c>
      <c r="L980">
        <v>1</v>
      </c>
      <c r="M980">
        <v>5</v>
      </c>
      <c r="N980">
        <v>0.64992439999999996</v>
      </c>
      <c r="O980">
        <v>-4</v>
      </c>
      <c r="P980">
        <v>5</v>
      </c>
      <c r="Q980">
        <v>9</v>
      </c>
      <c r="R980">
        <v>1924</v>
      </c>
      <c r="S980">
        <v>-3375</v>
      </c>
      <c r="T980">
        <v>0</v>
      </c>
      <c r="U980">
        <v>0</v>
      </c>
      <c r="V980" t="s">
        <v>34</v>
      </c>
      <c r="W980">
        <v>1924</v>
      </c>
      <c r="X980">
        <v>-3375</v>
      </c>
      <c r="Y980">
        <v>0</v>
      </c>
      <c r="Z980">
        <v>2.513497E-2</v>
      </c>
      <c r="AA980">
        <v>5299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5299</v>
      </c>
      <c r="AH980">
        <f t="shared" si="15"/>
        <v>0</v>
      </c>
    </row>
    <row r="981" spans="1:34" x14ac:dyDescent="0.25">
      <c r="A981" s="1">
        <v>44936</v>
      </c>
      <c r="B981">
        <v>486</v>
      </c>
      <c r="C981">
        <v>1.039501E-2</v>
      </c>
      <c r="D981">
        <v>694</v>
      </c>
      <c r="E981">
        <v>2.8148148000000001E-2</v>
      </c>
      <c r="F981">
        <v>-1.7753138000000002E-2</v>
      </c>
      <c r="G981">
        <v>1.7753138000000002E-2</v>
      </c>
      <c r="H981">
        <v>2.2061231000000001E-2</v>
      </c>
      <c r="I981">
        <v>2.4825346000000002E-2</v>
      </c>
      <c r="J981">
        <v>0</v>
      </c>
      <c r="K981">
        <v>0</v>
      </c>
      <c r="L981">
        <v>-1</v>
      </c>
      <c r="M981">
        <v>5</v>
      </c>
      <c r="N981">
        <v>3.866767871</v>
      </c>
      <c r="O981">
        <v>4</v>
      </c>
      <c r="P981">
        <v>-5</v>
      </c>
      <c r="Q981">
        <v>9</v>
      </c>
      <c r="R981">
        <v>-1944</v>
      </c>
      <c r="S981">
        <v>3470</v>
      </c>
      <c r="T981">
        <v>-20</v>
      </c>
      <c r="U981">
        <v>95</v>
      </c>
      <c r="V981" t="s">
        <v>35</v>
      </c>
      <c r="W981">
        <v>-1944</v>
      </c>
      <c r="X981">
        <v>3470</v>
      </c>
      <c r="Y981">
        <v>75</v>
      </c>
      <c r="Z981">
        <v>2.4825346000000002E-2</v>
      </c>
      <c r="AA981">
        <v>5414</v>
      </c>
      <c r="AB981">
        <v>0</v>
      </c>
      <c r="AC981">
        <v>75</v>
      </c>
      <c r="AD981">
        <v>1.3852974000000001E-2</v>
      </c>
      <c r="AE981">
        <v>0</v>
      </c>
      <c r="AF981">
        <v>75</v>
      </c>
      <c r="AG981">
        <v>0</v>
      </c>
      <c r="AH981">
        <f t="shared" si="15"/>
        <v>1.3852973771702993E-2</v>
      </c>
    </row>
    <row r="982" spans="1:34" x14ac:dyDescent="0.25">
      <c r="A982" s="1">
        <v>44937</v>
      </c>
      <c r="B982">
        <v>484.5</v>
      </c>
      <c r="C982">
        <v>-3.0864199999999999E-3</v>
      </c>
      <c r="D982">
        <v>707</v>
      </c>
      <c r="E982">
        <v>1.8731988000000001E-2</v>
      </c>
      <c r="F982">
        <v>-2.1818408000000001E-2</v>
      </c>
      <c r="G982">
        <v>2.1818408000000001E-2</v>
      </c>
      <c r="H982">
        <v>2.0970974E-2</v>
      </c>
      <c r="I982">
        <v>1.9453122E-2</v>
      </c>
      <c r="J982">
        <v>0</v>
      </c>
      <c r="K982">
        <v>1</v>
      </c>
      <c r="L982">
        <v>1</v>
      </c>
      <c r="M982">
        <v>5</v>
      </c>
      <c r="N982">
        <v>8.8563449649999999</v>
      </c>
      <c r="O982">
        <v>45</v>
      </c>
      <c r="P982">
        <v>-5</v>
      </c>
      <c r="Q982">
        <v>50</v>
      </c>
      <c r="R982">
        <v>-21802.5</v>
      </c>
      <c r="S982">
        <v>3535</v>
      </c>
      <c r="T982">
        <v>0</v>
      </c>
      <c r="U982">
        <v>0</v>
      </c>
      <c r="V982" t="s">
        <v>34</v>
      </c>
      <c r="W982">
        <v>-21802.5</v>
      </c>
      <c r="X982">
        <v>3535</v>
      </c>
      <c r="Y982">
        <v>0</v>
      </c>
      <c r="Z982">
        <v>2.0970974E-2</v>
      </c>
      <c r="AA982">
        <v>25337.5</v>
      </c>
      <c r="AB982">
        <v>0.01</v>
      </c>
      <c r="AC982">
        <v>0</v>
      </c>
      <c r="AD982">
        <v>0</v>
      </c>
      <c r="AE982">
        <v>0</v>
      </c>
      <c r="AF982">
        <v>0</v>
      </c>
      <c r="AG982">
        <v>25337.5</v>
      </c>
      <c r="AH982">
        <f t="shared" si="15"/>
        <v>0</v>
      </c>
    </row>
    <row r="983" spans="1:34" x14ac:dyDescent="0.25">
      <c r="A983" s="1">
        <v>44938</v>
      </c>
      <c r="B983">
        <v>486.5</v>
      </c>
      <c r="C983">
        <v>4.1279669999999997E-3</v>
      </c>
      <c r="D983">
        <v>715</v>
      </c>
      <c r="E983">
        <v>1.1315416999999999E-2</v>
      </c>
      <c r="F983">
        <v>-7.1874499999999997E-3</v>
      </c>
      <c r="G983">
        <v>7.1874499999999997E-3</v>
      </c>
      <c r="H983">
        <v>2.1275015000000001E-2</v>
      </c>
      <c r="I983">
        <v>1.3040273E-2</v>
      </c>
      <c r="J983">
        <v>0</v>
      </c>
      <c r="K983">
        <v>1</v>
      </c>
      <c r="L983">
        <v>0</v>
      </c>
      <c r="M983">
        <v>5</v>
      </c>
      <c r="N983">
        <v>4.0286316109999998</v>
      </c>
      <c r="O983">
        <v>-45</v>
      </c>
      <c r="P983">
        <v>5</v>
      </c>
      <c r="Q983">
        <v>50</v>
      </c>
      <c r="R983">
        <v>21892.5</v>
      </c>
      <c r="S983">
        <v>-3575</v>
      </c>
      <c r="T983">
        <v>90</v>
      </c>
      <c r="U983">
        <v>-40</v>
      </c>
      <c r="V983" t="s">
        <v>37</v>
      </c>
      <c r="W983">
        <v>0</v>
      </c>
      <c r="X983">
        <v>0</v>
      </c>
      <c r="Y983">
        <v>0</v>
      </c>
      <c r="Z983">
        <v>2.1275015000000001E-2</v>
      </c>
      <c r="AA983">
        <v>25467.5</v>
      </c>
      <c r="AB983">
        <v>0.01</v>
      </c>
      <c r="AC983">
        <v>50</v>
      </c>
      <c r="AD983">
        <v>1.9632870000000002E-3</v>
      </c>
      <c r="AE983">
        <v>0</v>
      </c>
      <c r="AF983">
        <v>0</v>
      </c>
      <c r="AG983">
        <v>0</v>
      </c>
      <c r="AH983">
        <f t="shared" si="15"/>
        <v>0</v>
      </c>
    </row>
    <row r="984" spans="1:34" x14ac:dyDescent="0.25">
      <c r="A984" s="1">
        <v>44939</v>
      </c>
      <c r="B984">
        <v>500</v>
      </c>
      <c r="C984">
        <v>2.7749229E-2</v>
      </c>
      <c r="D984">
        <v>694</v>
      </c>
      <c r="E984">
        <v>-2.9370628999999999E-2</v>
      </c>
      <c r="F984">
        <v>5.7119859000000002E-2</v>
      </c>
      <c r="G984">
        <v>5.7119859000000002E-2</v>
      </c>
      <c r="H984">
        <v>2.0945660000000001E-2</v>
      </c>
      <c r="I984">
        <v>2.3015654E-2</v>
      </c>
      <c r="J984">
        <v>1</v>
      </c>
      <c r="K984">
        <v>0</v>
      </c>
      <c r="L984">
        <v>-1</v>
      </c>
      <c r="M984">
        <v>5</v>
      </c>
      <c r="N984">
        <v>1.4691014760000001</v>
      </c>
      <c r="O984">
        <v>-45</v>
      </c>
      <c r="P984">
        <v>5</v>
      </c>
      <c r="Q984">
        <v>50</v>
      </c>
      <c r="R984">
        <v>22500</v>
      </c>
      <c r="S984">
        <v>-3470</v>
      </c>
      <c r="T984">
        <v>697.5</v>
      </c>
      <c r="U984">
        <v>65</v>
      </c>
      <c r="V984" t="s">
        <v>35</v>
      </c>
      <c r="W984">
        <v>22500</v>
      </c>
      <c r="X984">
        <v>-3470</v>
      </c>
      <c r="Y984">
        <v>762.5</v>
      </c>
      <c r="Z984">
        <v>2.3015654E-2</v>
      </c>
      <c r="AA984">
        <v>25970</v>
      </c>
      <c r="AB984">
        <v>0.01</v>
      </c>
      <c r="AC984">
        <v>762.5</v>
      </c>
      <c r="AD984">
        <v>2.9360800999999999E-2</v>
      </c>
      <c r="AE984">
        <v>0</v>
      </c>
      <c r="AF984">
        <v>762.5</v>
      </c>
      <c r="AG984">
        <v>0</v>
      </c>
      <c r="AH984">
        <f t="shared" si="15"/>
        <v>2.936080092414324E-2</v>
      </c>
    </row>
    <row r="985" spans="1:34" x14ac:dyDescent="0.25">
      <c r="A985" s="1">
        <v>44942</v>
      </c>
      <c r="B985">
        <v>505</v>
      </c>
      <c r="C985">
        <v>0.01</v>
      </c>
      <c r="D985">
        <v>704</v>
      </c>
      <c r="E985">
        <v>1.4409221999999999E-2</v>
      </c>
      <c r="F985">
        <v>-4.409222E-3</v>
      </c>
      <c r="G985">
        <v>4.409222E-3</v>
      </c>
      <c r="H985">
        <v>1.1410452999999999E-2</v>
      </c>
      <c r="I985">
        <v>2.2179187999999999E-2</v>
      </c>
      <c r="J985">
        <v>0</v>
      </c>
      <c r="K985">
        <v>0</v>
      </c>
      <c r="L985">
        <v>0</v>
      </c>
      <c r="M985">
        <v>5</v>
      </c>
      <c r="N985">
        <v>2.0087311319999999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W985">
        <v>0</v>
      </c>
      <c r="X985">
        <v>0</v>
      </c>
      <c r="Y985">
        <v>0</v>
      </c>
      <c r="Z985">
        <v>2.2179187999999999E-2</v>
      </c>
      <c r="AA985">
        <v>0</v>
      </c>
      <c r="AB985" t="s">
        <v>33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f t="shared" si="15"/>
        <v>0</v>
      </c>
    </row>
    <row r="986" spans="1:34" x14ac:dyDescent="0.25">
      <c r="A986" s="1">
        <v>44943</v>
      </c>
      <c r="B986">
        <v>503</v>
      </c>
      <c r="C986">
        <v>-3.9603959999999997E-3</v>
      </c>
      <c r="D986">
        <v>693</v>
      </c>
      <c r="E986">
        <v>-1.5625E-2</v>
      </c>
      <c r="F986">
        <v>1.1664604E-2</v>
      </c>
      <c r="G986">
        <v>1.1664604E-2</v>
      </c>
      <c r="H986">
        <v>1.2938697000000001E-2</v>
      </c>
      <c r="I986">
        <v>2.1173497999999999E-2</v>
      </c>
      <c r="J986">
        <v>1</v>
      </c>
      <c r="K986">
        <v>0</v>
      </c>
      <c r="L986">
        <v>0</v>
      </c>
      <c r="M986">
        <v>5</v>
      </c>
      <c r="N986">
        <v>5.4355895869999999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W986">
        <v>0</v>
      </c>
      <c r="X986">
        <v>0</v>
      </c>
      <c r="Y986">
        <v>0</v>
      </c>
      <c r="Z986">
        <v>2.1173497999999999E-2</v>
      </c>
      <c r="AA986">
        <v>0</v>
      </c>
      <c r="AB986" t="s">
        <v>33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f t="shared" si="15"/>
        <v>0</v>
      </c>
    </row>
    <row r="987" spans="1:34" x14ac:dyDescent="0.25">
      <c r="A987" s="1">
        <v>44956</v>
      </c>
      <c r="B987">
        <v>543</v>
      </c>
      <c r="C987">
        <v>7.9522862999999999E-2</v>
      </c>
      <c r="D987">
        <v>739</v>
      </c>
      <c r="E987">
        <v>6.6378065999999999E-2</v>
      </c>
      <c r="F987">
        <v>1.3144796E-2</v>
      </c>
      <c r="G987">
        <v>1.3144796E-2</v>
      </c>
      <c r="H987">
        <v>3.3422356E-2</v>
      </c>
      <c r="I987">
        <v>3.6758234000000001E-2</v>
      </c>
      <c r="J987">
        <v>1</v>
      </c>
      <c r="K987">
        <v>0</v>
      </c>
      <c r="L987">
        <v>0</v>
      </c>
      <c r="M987">
        <v>5</v>
      </c>
      <c r="N987">
        <v>1.1359970399999999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W987">
        <v>0</v>
      </c>
      <c r="X987">
        <v>0</v>
      </c>
      <c r="Y987">
        <v>0</v>
      </c>
      <c r="Z987">
        <v>3.6758234000000001E-2</v>
      </c>
      <c r="AA987">
        <v>0</v>
      </c>
      <c r="AB987" t="s">
        <v>33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f t="shared" si="15"/>
        <v>0</v>
      </c>
    </row>
    <row r="988" spans="1:34" x14ac:dyDescent="0.25">
      <c r="A988" s="1">
        <v>44957</v>
      </c>
      <c r="B988">
        <v>522</v>
      </c>
      <c r="C988">
        <v>-3.8674032999999997E-2</v>
      </c>
      <c r="D988">
        <v>718</v>
      </c>
      <c r="E988">
        <v>-2.8416779E-2</v>
      </c>
      <c r="F988">
        <v>-1.0257254E-2</v>
      </c>
      <c r="G988">
        <v>1.0257254E-2</v>
      </c>
      <c r="H988">
        <v>4.3563501999999997E-2</v>
      </c>
      <c r="I988">
        <v>4.0364228000000002E-2</v>
      </c>
      <c r="J988">
        <v>0</v>
      </c>
      <c r="K988">
        <v>0</v>
      </c>
      <c r="L988">
        <v>0</v>
      </c>
      <c r="M988">
        <v>5</v>
      </c>
      <c r="N988">
        <v>1.0106699020000001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W988">
        <v>0</v>
      </c>
      <c r="X988">
        <v>0</v>
      </c>
      <c r="Y988">
        <v>0</v>
      </c>
      <c r="Z988">
        <v>4.3563501999999997E-2</v>
      </c>
      <c r="AA988">
        <v>0</v>
      </c>
      <c r="AB988" t="s">
        <v>33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f t="shared" si="15"/>
        <v>0</v>
      </c>
    </row>
    <row r="989" spans="1:34" x14ac:dyDescent="0.25">
      <c r="A989" s="1">
        <v>44958</v>
      </c>
      <c r="B989">
        <v>530</v>
      </c>
      <c r="C989">
        <v>1.532567E-2</v>
      </c>
      <c r="D989">
        <v>724</v>
      </c>
      <c r="E989">
        <v>8.3565459999999994E-3</v>
      </c>
      <c r="F989">
        <v>6.9691249999999996E-3</v>
      </c>
      <c r="G989">
        <v>6.9691249999999996E-3</v>
      </c>
      <c r="H989">
        <v>4.3000024999999997E-2</v>
      </c>
      <c r="I989">
        <v>3.6497672000000002E-2</v>
      </c>
      <c r="J989">
        <v>1</v>
      </c>
      <c r="K989">
        <v>0</v>
      </c>
      <c r="L989">
        <v>0</v>
      </c>
      <c r="M989">
        <v>5</v>
      </c>
      <c r="N989">
        <v>0.74485205200000004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W989">
        <v>0</v>
      </c>
      <c r="X989">
        <v>0</v>
      </c>
      <c r="Y989">
        <v>0</v>
      </c>
      <c r="Z989">
        <v>4.3000024999999997E-2</v>
      </c>
      <c r="AA989">
        <v>0</v>
      </c>
      <c r="AB989" t="s">
        <v>33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f t="shared" si="15"/>
        <v>0</v>
      </c>
    </row>
    <row r="990" spans="1:34" x14ac:dyDescent="0.25">
      <c r="A990" s="1">
        <v>44959</v>
      </c>
      <c r="B990">
        <v>540</v>
      </c>
      <c r="C990">
        <v>1.8867925000000001E-2</v>
      </c>
      <c r="D990">
        <v>747</v>
      </c>
      <c r="E990">
        <v>3.1767956E-2</v>
      </c>
      <c r="F990">
        <v>-1.2900030999999999E-2</v>
      </c>
      <c r="G990">
        <v>1.2900030999999999E-2</v>
      </c>
      <c r="H990">
        <v>4.3056925000000003E-2</v>
      </c>
      <c r="I990">
        <v>3.7935691000000001E-2</v>
      </c>
      <c r="J990">
        <v>0</v>
      </c>
      <c r="K990">
        <v>0</v>
      </c>
      <c r="L990">
        <v>0</v>
      </c>
      <c r="M990">
        <v>5</v>
      </c>
      <c r="N990">
        <v>2.3291206259999999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W990">
        <v>0</v>
      </c>
      <c r="X990">
        <v>0</v>
      </c>
      <c r="Y990">
        <v>0</v>
      </c>
      <c r="Z990">
        <v>4.3056925000000003E-2</v>
      </c>
      <c r="AA990">
        <v>0</v>
      </c>
      <c r="AB990" t="s">
        <v>33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f t="shared" si="15"/>
        <v>0</v>
      </c>
    </row>
    <row r="991" spans="1:34" x14ac:dyDescent="0.25">
      <c r="A991" s="1">
        <v>44960</v>
      </c>
      <c r="B991">
        <v>542</v>
      </c>
      <c r="C991">
        <v>3.7037039999999999E-3</v>
      </c>
      <c r="D991">
        <v>751</v>
      </c>
      <c r="E991">
        <v>5.3547519999999999E-3</v>
      </c>
      <c r="F991">
        <v>-1.6510489999999999E-3</v>
      </c>
      <c r="G991">
        <v>1.6510489999999999E-3</v>
      </c>
      <c r="H991">
        <v>4.2379145999999999E-2</v>
      </c>
      <c r="I991">
        <v>3.5102723000000002E-2</v>
      </c>
      <c r="J991">
        <v>0</v>
      </c>
      <c r="K991">
        <v>0</v>
      </c>
      <c r="L991">
        <v>0</v>
      </c>
      <c r="M991">
        <v>5</v>
      </c>
      <c r="N991">
        <v>2.0032899120000001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W991">
        <v>0</v>
      </c>
      <c r="X991">
        <v>0</v>
      </c>
      <c r="Y991">
        <v>0</v>
      </c>
      <c r="Z991">
        <v>4.2379145999999999E-2</v>
      </c>
      <c r="AA991">
        <v>0</v>
      </c>
      <c r="AB991" t="s">
        <v>33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f t="shared" si="15"/>
        <v>0</v>
      </c>
    </row>
    <row r="992" spans="1:34" x14ac:dyDescent="0.25">
      <c r="A992" s="1">
        <v>44963</v>
      </c>
      <c r="B992">
        <v>526</v>
      </c>
      <c r="C992">
        <v>-2.9520294999999998E-2</v>
      </c>
      <c r="D992">
        <v>731</v>
      </c>
      <c r="E992">
        <v>-2.6631157999999999E-2</v>
      </c>
      <c r="F992">
        <v>-2.889137E-3</v>
      </c>
      <c r="G992">
        <v>2.889137E-3</v>
      </c>
      <c r="H992">
        <v>2.6401415000000001E-2</v>
      </c>
      <c r="I992">
        <v>2.5525125999999999E-2</v>
      </c>
      <c r="J992">
        <v>0</v>
      </c>
      <c r="K992">
        <v>0</v>
      </c>
      <c r="L992">
        <v>0</v>
      </c>
      <c r="M992">
        <v>5</v>
      </c>
      <c r="N992">
        <v>1.2537212740000001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W992">
        <v>0</v>
      </c>
      <c r="X992">
        <v>0</v>
      </c>
      <c r="Y992">
        <v>0</v>
      </c>
      <c r="Z992">
        <v>2.6401415000000001E-2</v>
      </c>
      <c r="AA992">
        <v>0</v>
      </c>
      <c r="AB992" t="s">
        <v>33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f t="shared" si="15"/>
        <v>0</v>
      </c>
    </row>
    <row r="993" spans="1:34" x14ac:dyDescent="0.25">
      <c r="A993" s="1">
        <v>44964</v>
      </c>
      <c r="B993">
        <v>523</v>
      </c>
      <c r="C993">
        <v>-5.7034219999999997E-3</v>
      </c>
      <c r="D993">
        <v>717</v>
      </c>
      <c r="E993">
        <v>-1.9151847E-2</v>
      </c>
      <c r="F993">
        <v>1.3448425E-2</v>
      </c>
      <c r="G993">
        <v>1.3448425E-2</v>
      </c>
      <c r="H993">
        <v>1.9410947000000001E-2</v>
      </c>
      <c r="I993">
        <v>2.3365047E-2</v>
      </c>
      <c r="J993">
        <v>1</v>
      </c>
      <c r="K993">
        <v>0</v>
      </c>
      <c r="L993">
        <v>0</v>
      </c>
      <c r="M993">
        <v>5</v>
      </c>
      <c r="N993">
        <v>4.6035473549999999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W993">
        <v>0</v>
      </c>
      <c r="X993">
        <v>0</v>
      </c>
      <c r="Y993">
        <v>0</v>
      </c>
      <c r="Z993">
        <v>2.3365047E-2</v>
      </c>
      <c r="AA993">
        <v>0</v>
      </c>
      <c r="AB993" t="s">
        <v>33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f t="shared" si="15"/>
        <v>0</v>
      </c>
    </row>
    <row r="994" spans="1:34" x14ac:dyDescent="0.25">
      <c r="A994" s="1">
        <v>44965</v>
      </c>
      <c r="B994">
        <v>540</v>
      </c>
      <c r="C994">
        <v>3.2504779999999997E-2</v>
      </c>
      <c r="D994">
        <v>744</v>
      </c>
      <c r="E994">
        <v>3.7656903999999998E-2</v>
      </c>
      <c r="F994">
        <v>-5.1521240000000001E-3</v>
      </c>
      <c r="G994">
        <v>5.1521240000000001E-3</v>
      </c>
      <c r="H994">
        <v>2.3724605999999999E-2</v>
      </c>
      <c r="I994">
        <v>2.8999008999999999E-2</v>
      </c>
      <c r="J994">
        <v>0</v>
      </c>
      <c r="K994">
        <v>0</v>
      </c>
      <c r="L994">
        <v>0</v>
      </c>
      <c r="M994">
        <v>5</v>
      </c>
      <c r="N994">
        <v>1.5961604730000001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W994">
        <v>0</v>
      </c>
      <c r="X994">
        <v>0</v>
      </c>
      <c r="Y994">
        <v>0</v>
      </c>
      <c r="Z994">
        <v>2.8999008999999999E-2</v>
      </c>
      <c r="AA994">
        <v>0</v>
      </c>
      <c r="AB994" t="s">
        <v>33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f t="shared" si="15"/>
        <v>0</v>
      </c>
    </row>
    <row r="995" spans="1:34" x14ac:dyDescent="0.25">
      <c r="A995" s="1">
        <v>44966</v>
      </c>
      <c r="B995">
        <v>540</v>
      </c>
      <c r="C995">
        <v>0</v>
      </c>
      <c r="D995">
        <v>749</v>
      </c>
      <c r="E995">
        <v>6.7204300000000003E-3</v>
      </c>
      <c r="F995">
        <v>-6.7204300000000003E-3</v>
      </c>
      <c r="G995">
        <v>6.7204300000000003E-3</v>
      </c>
      <c r="H995">
        <v>2.2215202999999999E-2</v>
      </c>
      <c r="I995">
        <v>2.5321792999999999E-2</v>
      </c>
      <c r="J995">
        <v>0</v>
      </c>
      <c r="K995">
        <v>0</v>
      </c>
      <c r="L995">
        <v>0</v>
      </c>
      <c r="M995">
        <v>5</v>
      </c>
      <c r="N995" t="s">
        <v>36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W995">
        <v>0</v>
      </c>
      <c r="X995">
        <v>0</v>
      </c>
      <c r="Y995">
        <v>0</v>
      </c>
      <c r="Z995">
        <v>2.5321792999999999E-2</v>
      </c>
      <c r="AA995">
        <v>0</v>
      </c>
      <c r="AB995" t="s">
        <v>33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f t="shared" si="15"/>
        <v>0</v>
      </c>
    </row>
    <row r="996" spans="1:34" x14ac:dyDescent="0.25">
      <c r="A996" s="1">
        <v>44967</v>
      </c>
      <c r="B996">
        <v>545</v>
      </c>
      <c r="C996">
        <v>9.2592590000000006E-3</v>
      </c>
      <c r="D996">
        <v>740</v>
      </c>
      <c r="E996">
        <v>-1.2016021E-2</v>
      </c>
      <c r="F996">
        <v>2.1275281E-2</v>
      </c>
      <c r="G996">
        <v>2.1275281E-2</v>
      </c>
      <c r="H996">
        <v>2.2570535999999999E-2</v>
      </c>
      <c r="I996">
        <v>2.5727295000000001E-2</v>
      </c>
      <c r="J996">
        <v>1</v>
      </c>
      <c r="K996">
        <v>0</v>
      </c>
      <c r="L996">
        <v>0</v>
      </c>
      <c r="M996">
        <v>5</v>
      </c>
      <c r="N996">
        <v>1.76205583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W996">
        <v>0</v>
      </c>
      <c r="X996">
        <v>0</v>
      </c>
      <c r="Y996">
        <v>0</v>
      </c>
      <c r="Z996">
        <v>2.5727295000000001E-2</v>
      </c>
      <c r="AA996">
        <v>0</v>
      </c>
      <c r="AB996" t="s">
        <v>33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f t="shared" si="15"/>
        <v>0</v>
      </c>
    </row>
    <row r="997" spans="1:34" x14ac:dyDescent="0.25">
      <c r="A997" s="1">
        <v>44970</v>
      </c>
      <c r="B997">
        <v>541</v>
      </c>
      <c r="C997">
        <v>-7.33945E-3</v>
      </c>
      <c r="D997">
        <v>731</v>
      </c>
      <c r="E997">
        <v>-1.2162162000000001E-2</v>
      </c>
      <c r="F997">
        <v>4.8227130000000002E-3</v>
      </c>
      <c r="G997">
        <v>4.8227130000000002E-3</v>
      </c>
      <c r="H997">
        <v>1.6307283999999998E-2</v>
      </c>
      <c r="I997">
        <v>2.3033037999999999E-2</v>
      </c>
      <c r="J997">
        <v>1</v>
      </c>
      <c r="K997">
        <v>0</v>
      </c>
      <c r="L997">
        <v>0</v>
      </c>
      <c r="M997">
        <v>5</v>
      </c>
      <c r="N997">
        <v>2.2390686670000002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W997">
        <v>0</v>
      </c>
      <c r="X997">
        <v>0</v>
      </c>
      <c r="Y997">
        <v>0</v>
      </c>
      <c r="Z997">
        <v>2.3033037999999999E-2</v>
      </c>
      <c r="AA997">
        <v>0</v>
      </c>
      <c r="AB997" t="s">
        <v>33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f t="shared" si="15"/>
        <v>0</v>
      </c>
    </row>
    <row r="998" spans="1:34" x14ac:dyDescent="0.25">
      <c r="A998" s="1">
        <v>44971</v>
      </c>
      <c r="B998">
        <v>545</v>
      </c>
      <c r="C998">
        <v>7.3937150000000004E-3</v>
      </c>
      <c r="D998">
        <v>732</v>
      </c>
      <c r="E998">
        <v>1.367989E-3</v>
      </c>
      <c r="F998">
        <v>6.0257260000000003E-3</v>
      </c>
      <c r="G998">
        <v>6.0257260000000003E-3</v>
      </c>
      <c r="H998">
        <v>1.5008956E-2</v>
      </c>
      <c r="I998">
        <v>2.0398238999999999E-2</v>
      </c>
      <c r="J998">
        <v>1</v>
      </c>
      <c r="K998">
        <v>0</v>
      </c>
      <c r="L998">
        <v>0</v>
      </c>
      <c r="M998">
        <v>5</v>
      </c>
      <c r="N998">
        <v>0.24850462500000001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W998">
        <v>0</v>
      </c>
      <c r="X998">
        <v>0</v>
      </c>
      <c r="Y998">
        <v>0</v>
      </c>
      <c r="Z998">
        <v>2.0398238999999999E-2</v>
      </c>
      <c r="AA998">
        <v>0</v>
      </c>
      <c r="AB998" t="s">
        <v>33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f t="shared" si="15"/>
        <v>0</v>
      </c>
    </row>
    <row r="999" spans="1:34" x14ac:dyDescent="0.25">
      <c r="A999" s="1">
        <v>44972</v>
      </c>
      <c r="B999">
        <v>525</v>
      </c>
      <c r="C999">
        <v>-3.6697248000000002E-2</v>
      </c>
      <c r="D999">
        <v>710</v>
      </c>
      <c r="E999">
        <v>-3.0054645000000001E-2</v>
      </c>
      <c r="F999">
        <v>-6.6426030000000004E-3</v>
      </c>
      <c r="G999">
        <v>6.6426030000000004E-3</v>
      </c>
      <c r="H999">
        <v>1.8647941000000001E-2</v>
      </c>
      <c r="I999">
        <v>1.4289497E-2</v>
      </c>
      <c r="J999">
        <v>0</v>
      </c>
      <c r="K999">
        <v>0</v>
      </c>
      <c r="L999">
        <v>0</v>
      </c>
      <c r="M999">
        <v>5</v>
      </c>
      <c r="N999">
        <v>1.10758522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W999">
        <v>0</v>
      </c>
      <c r="X999">
        <v>0</v>
      </c>
      <c r="Y999">
        <v>0</v>
      </c>
      <c r="Z999">
        <v>1.8647941000000001E-2</v>
      </c>
      <c r="AA999">
        <v>0</v>
      </c>
      <c r="AB999" t="s">
        <v>33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f t="shared" si="15"/>
        <v>0</v>
      </c>
    </row>
    <row r="1000" spans="1:34" x14ac:dyDescent="0.25">
      <c r="A1000" s="1">
        <v>44973</v>
      </c>
      <c r="B1000">
        <v>528</v>
      </c>
      <c r="C1000">
        <v>5.7142859999999998E-3</v>
      </c>
      <c r="D1000">
        <v>711</v>
      </c>
      <c r="E1000">
        <v>1.408451E-3</v>
      </c>
      <c r="F1000">
        <v>4.305835E-3</v>
      </c>
      <c r="G1000">
        <v>4.305835E-3</v>
      </c>
      <c r="H1000">
        <v>1.9233411999999998E-2</v>
      </c>
      <c r="I1000">
        <v>1.2941095E-2</v>
      </c>
      <c r="J1000">
        <v>1</v>
      </c>
      <c r="K1000">
        <v>0</v>
      </c>
      <c r="L1000">
        <v>0</v>
      </c>
      <c r="M1000">
        <v>5</v>
      </c>
      <c r="N1000">
        <v>0.33190620999999998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W1000">
        <v>0</v>
      </c>
      <c r="X1000">
        <v>0</v>
      </c>
      <c r="Y1000">
        <v>0</v>
      </c>
      <c r="Z1000">
        <v>1.9233411999999998E-2</v>
      </c>
      <c r="AA1000">
        <v>0</v>
      </c>
      <c r="AB1000" t="s">
        <v>33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f t="shared" si="15"/>
        <v>0</v>
      </c>
    </row>
    <row r="1001" spans="1:34" x14ac:dyDescent="0.25">
      <c r="A1001" s="1">
        <v>44974</v>
      </c>
      <c r="B1001">
        <v>518</v>
      </c>
      <c r="C1001">
        <v>-1.8939393999999998E-2</v>
      </c>
      <c r="D1001">
        <v>723</v>
      </c>
      <c r="E1001">
        <v>1.6877637000000001E-2</v>
      </c>
      <c r="F1001">
        <v>-3.5817030999999999E-2</v>
      </c>
      <c r="G1001">
        <v>3.5817030999999999E-2</v>
      </c>
      <c r="H1001">
        <v>1.8365803999999999E-2</v>
      </c>
      <c r="I1001">
        <v>1.7593281999999998E-2</v>
      </c>
      <c r="J1001">
        <v>0</v>
      </c>
      <c r="K1001">
        <v>1</v>
      </c>
      <c r="L1001">
        <v>1</v>
      </c>
      <c r="M1001">
        <v>5</v>
      </c>
      <c r="N1001">
        <v>1.2438101749999999</v>
      </c>
      <c r="O1001">
        <v>7</v>
      </c>
      <c r="P1001">
        <v>-5</v>
      </c>
      <c r="Q1001">
        <v>12</v>
      </c>
      <c r="R1001">
        <v>-3626</v>
      </c>
      <c r="S1001">
        <v>3615</v>
      </c>
      <c r="T1001">
        <v>0</v>
      </c>
      <c r="U1001">
        <v>0</v>
      </c>
      <c r="V1001" t="s">
        <v>34</v>
      </c>
      <c r="W1001">
        <v>-3626</v>
      </c>
      <c r="X1001">
        <v>3615</v>
      </c>
      <c r="Y1001">
        <v>0</v>
      </c>
      <c r="Z1001">
        <v>1.8365803999999999E-2</v>
      </c>
      <c r="AA1001">
        <v>7241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7241</v>
      </c>
      <c r="AH1001">
        <f t="shared" si="15"/>
        <v>0</v>
      </c>
    </row>
    <row r="1002" spans="1:34" x14ac:dyDescent="0.25">
      <c r="A1002" s="1">
        <v>44977</v>
      </c>
      <c r="B1002">
        <v>517</v>
      </c>
      <c r="C1002">
        <v>-1.930502E-3</v>
      </c>
      <c r="D1002">
        <v>726</v>
      </c>
      <c r="E1002">
        <v>4.1493779999999996E-3</v>
      </c>
      <c r="F1002">
        <v>-6.0798800000000002E-3</v>
      </c>
      <c r="G1002">
        <v>6.0798800000000002E-3</v>
      </c>
      <c r="H1002">
        <v>1.8715718999999999E-2</v>
      </c>
      <c r="I1002">
        <v>1.7330559999999998E-2</v>
      </c>
      <c r="J1002">
        <v>0</v>
      </c>
      <c r="K1002">
        <v>1</v>
      </c>
      <c r="L1002">
        <v>0</v>
      </c>
      <c r="M1002">
        <v>5</v>
      </c>
      <c r="N1002">
        <v>3.0182749179999999</v>
      </c>
      <c r="O1002">
        <v>-7</v>
      </c>
      <c r="P1002">
        <v>5</v>
      </c>
      <c r="Q1002">
        <v>12</v>
      </c>
      <c r="R1002">
        <v>3619</v>
      </c>
      <c r="S1002">
        <v>-3630</v>
      </c>
      <c r="T1002">
        <v>-7</v>
      </c>
      <c r="U1002">
        <v>-15</v>
      </c>
      <c r="V1002" t="s">
        <v>37</v>
      </c>
      <c r="W1002">
        <v>0</v>
      </c>
      <c r="X1002">
        <v>0</v>
      </c>
      <c r="Y1002">
        <v>0</v>
      </c>
      <c r="Z1002">
        <v>1.8715718999999999E-2</v>
      </c>
      <c r="AA1002">
        <v>7249</v>
      </c>
      <c r="AB1002">
        <v>0</v>
      </c>
      <c r="AC1002">
        <v>-22</v>
      </c>
      <c r="AD1002">
        <v>-3.034901E-3</v>
      </c>
      <c r="AE1002">
        <v>0</v>
      </c>
      <c r="AF1002">
        <v>0</v>
      </c>
      <c r="AG1002">
        <v>0</v>
      </c>
      <c r="AH1002">
        <f t="shared" si="15"/>
        <v>0</v>
      </c>
    </row>
    <row r="1003" spans="1:34" x14ac:dyDescent="0.25">
      <c r="A1003" s="1">
        <v>44978</v>
      </c>
      <c r="B1003">
        <v>516</v>
      </c>
      <c r="C1003">
        <v>-1.934236E-3</v>
      </c>
      <c r="D1003">
        <v>725</v>
      </c>
      <c r="E1003">
        <v>-1.3774099999999999E-3</v>
      </c>
      <c r="F1003">
        <v>-5.5682599999999996E-4</v>
      </c>
      <c r="G1003">
        <v>5.5682599999999996E-4</v>
      </c>
      <c r="H1003">
        <v>1.7079955000000001E-2</v>
      </c>
      <c r="I1003">
        <v>1.7270256000000001E-2</v>
      </c>
      <c r="J1003">
        <v>0</v>
      </c>
      <c r="K1003">
        <v>1</v>
      </c>
      <c r="L1003">
        <v>0</v>
      </c>
      <c r="M1003">
        <v>5</v>
      </c>
      <c r="N1003">
        <v>1.000557905</v>
      </c>
      <c r="O1003">
        <v>-7</v>
      </c>
      <c r="P1003">
        <v>5</v>
      </c>
      <c r="Q1003">
        <v>12</v>
      </c>
      <c r="R1003">
        <v>3612</v>
      </c>
      <c r="S1003">
        <v>-3625</v>
      </c>
      <c r="T1003">
        <v>-14</v>
      </c>
      <c r="U1003">
        <v>-10</v>
      </c>
      <c r="V1003" t="s">
        <v>37</v>
      </c>
      <c r="W1003">
        <v>0</v>
      </c>
      <c r="X1003">
        <v>0</v>
      </c>
      <c r="Y1003">
        <v>0</v>
      </c>
      <c r="Z1003">
        <v>1.7270256000000001E-2</v>
      </c>
      <c r="AA1003">
        <v>7237</v>
      </c>
      <c r="AB1003">
        <v>0</v>
      </c>
      <c r="AC1003">
        <v>-24</v>
      </c>
      <c r="AD1003">
        <v>-3.3162909999999999E-3</v>
      </c>
      <c r="AE1003">
        <v>0</v>
      </c>
      <c r="AF1003">
        <v>0</v>
      </c>
      <c r="AG1003">
        <v>0</v>
      </c>
      <c r="AH1003">
        <f t="shared" si="15"/>
        <v>0</v>
      </c>
    </row>
    <row r="1004" spans="1:34" x14ac:dyDescent="0.25">
      <c r="A1004" s="1">
        <v>44979</v>
      </c>
      <c r="B1004">
        <v>507</v>
      </c>
      <c r="C1004">
        <v>-1.744186E-2</v>
      </c>
      <c r="D1004">
        <v>713</v>
      </c>
      <c r="E1004">
        <v>-1.6551724E-2</v>
      </c>
      <c r="F1004">
        <v>-8.9013600000000003E-4</v>
      </c>
      <c r="G1004">
        <v>8.9013600000000003E-4</v>
      </c>
      <c r="H1004">
        <v>1.0776740999999999E-2</v>
      </c>
      <c r="I1004">
        <v>1.1998449E-2</v>
      </c>
      <c r="J1004">
        <v>0</v>
      </c>
      <c r="K1004">
        <v>1</v>
      </c>
      <c r="L1004">
        <v>0</v>
      </c>
      <c r="M1004">
        <v>5</v>
      </c>
      <c r="N1004">
        <v>1.33454125</v>
      </c>
      <c r="O1004">
        <v>-7</v>
      </c>
      <c r="P1004">
        <v>5</v>
      </c>
      <c r="Q1004">
        <v>12</v>
      </c>
      <c r="R1004">
        <v>3549</v>
      </c>
      <c r="S1004">
        <v>-3565</v>
      </c>
      <c r="T1004">
        <v>-77</v>
      </c>
      <c r="U1004">
        <v>50</v>
      </c>
      <c r="V1004" t="s">
        <v>37</v>
      </c>
      <c r="W1004">
        <v>0</v>
      </c>
      <c r="X1004">
        <v>0</v>
      </c>
      <c r="Y1004">
        <v>0</v>
      </c>
      <c r="Z1004">
        <v>1.1998449E-2</v>
      </c>
      <c r="AA1004">
        <v>7114</v>
      </c>
      <c r="AB1004">
        <v>0</v>
      </c>
      <c r="AC1004">
        <v>-27</v>
      </c>
      <c r="AD1004">
        <v>-3.7953330000000001E-3</v>
      </c>
      <c r="AE1004">
        <v>0</v>
      </c>
      <c r="AF1004">
        <v>0</v>
      </c>
      <c r="AG1004">
        <v>0</v>
      </c>
      <c r="AH1004">
        <f t="shared" si="15"/>
        <v>0</v>
      </c>
    </row>
    <row r="1005" spans="1:34" x14ac:dyDescent="0.25">
      <c r="A1005" s="1">
        <v>44980</v>
      </c>
      <c r="B1005">
        <v>518</v>
      </c>
      <c r="C1005">
        <v>2.1696251999999999E-2</v>
      </c>
      <c r="D1005">
        <v>745</v>
      </c>
      <c r="E1005">
        <v>4.4880784999999999E-2</v>
      </c>
      <c r="F1005">
        <v>-2.3184533E-2</v>
      </c>
      <c r="G1005">
        <v>2.3184533E-2</v>
      </c>
      <c r="H1005">
        <v>1.6372965999999999E-2</v>
      </c>
      <c r="I1005">
        <v>2.3085835999999998E-2</v>
      </c>
      <c r="J1005">
        <v>0</v>
      </c>
      <c r="K1005">
        <v>1</v>
      </c>
      <c r="L1005">
        <v>0</v>
      </c>
      <c r="M1005">
        <v>5</v>
      </c>
      <c r="N1005">
        <v>2.9751045739999999</v>
      </c>
      <c r="O1005">
        <v>-7</v>
      </c>
      <c r="P1005">
        <v>5</v>
      </c>
      <c r="Q1005">
        <v>12</v>
      </c>
      <c r="R1005">
        <v>3626</v>
      </c>
      <c r="S1005">
        <v>-3725</v>
      </c>
      <c r="T1005">
        <v>0</v>
      </c>
      <c r="U1005">
        <v>-110</v>
      </c>
      <c r="V1005" t="s">
        <v>37</v>
      </c>
      <c r="W1005">
        <v>0</v>
      </c>
      <c r="X1005">
        <v>0</v>
      </c>
      <c r="Y1005">
        <v>0</v>
      </c>
      <c r="Z1005">
        <v>2.3085835999999998E-2</v>
      </c>
      <c r="AA1005">
        <v>7351</v>
      </c>
      <c r="AB1005">
        <v>0</v>
      </c>
      <c r="AC1005">
        <v>-110</v>
      </c>
      <c r="AD1005">
        <v>-1.496395E-2</v>
      </c>
      <c r="AE1005">
        <v>0</v>
      </c>
      <c r="AF1005">
        <v>0</v>
      </c>
      <c r="AG1005">
        <v>0</v>
      </c>
      <c r="AH1005">
        <f t="shared" si="15"/>
        <v>0</v>
      </c>
    </row>
    <row r="1006" spans="1:34" x14ac:dyDescent="0.25">
      <c r="A1006" s="1">
        <v>44981</v>
      </c>
      <c r="B1006">
        <v>511</v>
      </c>
      <c r="C1006">
        <v>-1.3513514000000001E-2</v>
      </c>
      <c r="D1006">
        <v>723</v>
      </c>
      <c r="E1006">
        <v>-2.9530200999999999E-2</v>
      </c>
      <c r="F1006">
        <v>1.6016688000000001E-2</v>
      </c>
      <c r="G1006">
        <v>1.6016688000000001E-2</v>
      </c>
      <c r="H1006">
        <v>1.5252720000000001E-2</v>
      </c>
      <c r="I1006">
        <v>2.8190860000000002E-2</v>
      </c>
      <c r="J1006">
        <v>1</v>
      </c>
      <c r="K1006">
        <v>0</v>
      </c>
      <c r="L1006">
        <v>-1</v>
      </c>
      <c r="M1006">
        <v>5</v>
      </c>
      <c r="N1006">
        <v>3.091829417</v>
      </c>
      <c r="O1006">
        <v>-7</v>
      </c>
      <c r="P1006">
        <v>5</v>
      </c>
      <c r="Q1006">
        <v>12</v>
      </c>
      <c r="R1006">
        <v>3577</v>
      </c>
      <c r="S1006">
        <v>-3615</v>
      </c>
      <c r="T1006">
        <v>-49</v>
      </c>
      <c r="U1006">
        <v>0</v>
      </c>
      <c r="V1006" t="s">
        <v>35</v>
      </c>
      <c r="W1006">
        <v>3577</v>
      </c>
      <c r="X1006">
        <v>-3615</v>
      </c>
      <c r="Y1006">
        <v>-49</v>
      </c>
      <c r="Z1006">
        <v>2.8190860000000002E-2</v>
      </c>
      <c r="AA1006">
        <v>7192</v>
      </c>
      <c r="AB1006">
        <v>0</v>
      </c>
      <c r="AC1006">
        <v>-49</v>
      </c>
      <c r="AD1006">
        <v>-6.8131260000000001E-3</v>
      </c>
      <c r="AE1006">
        <v>0</v>
      </c>
      <c r="AF1006">
        <v>-49</v>
      </c>
      <c r="AG1006">
        <v>0</v>
      </c>
      <c r="AH1006">
        <f t="shared" si="15"/>
        <v>-6.8131256952169081E-3</v>
      </c>
    </row>
    <row r="1007" spans="1:34" x14ac:dyDescent="0.25">
      <c r="A1007" s="1">
        <v>44986</v>
      </c>
      <c r="B1007">
        <v>522</v>
      </c>
      <c r="C1007">
        <v>2.1526419000000001E-2</v>
      </c>
      <c r="D1007">
        <v>791</v>
      </c>
      <c r="E1007">
        <v>9.4052558999999994E-2</v>
      </c>
      <c r="F1007">
        <v>-7.2526140000000003E-2</v>
      </c>
      <c r="G1007">
        <v>7.2526140000000003E-2</v>
      </c>
      <c r="H1007">
        <v>1.8730553E-2</v>
      </c>
      <c r="I1007">
        <v>5.0829517999999997E-2</v>
      </c>
      <c r="J1007">
        <v>0</v>
      </c>
      <c r="K1007">
        <v>1</v>
      </c>
      <c r="L1007">
        <v>1</v>
      </c>
      <c r="M1007">
        <v>5</v>
      </c>
      <c r="N1007">
        <v>6.6207137429999996</v>
      </c>
      <c r="O1007">
        <v>34</v>
      </c>
      <c r="P1007">
        <v>-5</v>
      </c>
      <c r="Q1007">
        <v>39</v>
      </c>
      <c r="R1007">
        <v>-17748</v>
      </c>
      <c r="S1007">
        <v>3955</v>
      </c>
      <c r="T1007">
        <v>0</v>
      </c>
      <c r="U1007">
        <v>0</v>
      </c>
      <c r="V1007" t="s">
        <v>34</v>
      </c>
      <c r="W1007">
        <v>-17748</v>
      </c>
      <c r="X1007">
        <v>3955</v>
      </c>
      <c r="Y1007">
        <v>0</v>
      </c>
      <c r="Z1007">
        <v>5.0829517999999997E-2</v>
      </c>
      <c r="AA1007">
        <v>21703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21703</v>
      </c>
      <c r="AH1007">
        <f t="shared" si="15"/>
        <v>0</v>
      </c>
    </row>
    <row r="1008" spans="1:34" x14ac:dyDescent="0.25">
      <c r="A1008" s="1">
        <v>44987</v>
      </c>
      <c r="B1008">
        <v>519</v>
      </c>
      <c r="C1008">
        <v>-5.747126E-3</v>
      </c>
      <c r="D1008">
        <v>775</v>
      </c>
      <c r="E1008">
        <v>-2.0227559999999999E-2</v>
      </c>
      <c r="F1008">
        <v>1.4480434E-2</v>
      </c>
      <c r="G1008">
        <v>1.4480434E-2</v>
      </c>
      <c r="H1008">
        <v>1.9009699000000001E-2</v>
      </c>
      <c r="I1008">
        <v>5.3292752999999998E-2</v>
      </c>
      <c r="J1008">
        <v>1</v>
      </c>
      <c r="K1008">
        <v>0</v>
      </c>
      <c r="L1008">
        <v>-1</v>
      </c>
      <c r="M1008">
        <v>5</v>
      </c>
      <c r="N1008">
        <v>5.2556579440000002</v>
      </c>
      <c r="O1008">
        <v>-34</v>
      </c>
      <c r="P1008">
        <v>5</v>
      </c>
      <c r="Q1008">
        <v>39</v>
      </c>
      <c r="R1008">
        <v>17646</v>
      </c>
      <c r="S1008">
        <v>-3875</v>
      </c>
      <c r="T1008">
        <v>-102</v>
      </c>
      <c r="U1008">
        <v>80</v>
      </c>
      <c r="V1008" t="s">
        <v>35</v>
      </c>
      <c r="W1008">
        <v>17646</v>
      </c>
      <c r="X1008">
        <v>-3875</v>
      </c>
      <c r="Y1008">
        <v>-22</v>
      </c>
      <c r="Z1008">
        <v>5.3292752999999998E-2</v>
      </c>
      <c r="AA1008">
        <v>21521</v>
      </c>
      <c r="AB1008">
        <v>0</v>
      </c>
      <c r="AC1008">
        <v>-22</v>
      </c>
      <c r="AD1008">
        <v>-1.0222569999999999E-3</v>
      </c>
      <c r="AE1008">
        <v>0</v>
      </c>
      <c r="AF1008">
        <v>-22</v>
      </c>
      <c r="AG1008">
        <v>0</v>
      </c>
      <c r="AH1008">
        <f t="shared" si="15"/>
        <v>-1.0222573300497188E-3</v>
      </c>
    </row>
    <row r="1009" spans="1:34" x14ac:dyDescent="0.25">
      <c r="A1009" s="1">
        <v>44988</v>
      </c>
      <c r="B1009">
        <v>516</v>
      </c>
      <c r="C1009">
        <v>-5.7803469999999999E-3</v>
      </c>
      <c r="D1009">
        <v>775</v>
      </c>
      <c r="E1009">
        <v>0</v>
      </c>
      <c r="F1009">
        <v>-5.7803469999999999E-3</v>
      </c>
      <c r="G1009">
        <v>5.7803469999999999E-3</v>
      </c>
      <c r="H1009">
        <v>1.6711196000000001E-2</v>
      </c>
      <c r="I1009">
        <v>5.1358783999999998E-2</v>
      </c>
      <c r="J1009">
        <v>0</v>
      </c>
      <c r="K1009">
        <v>0</v>
      </c>
      <c r="L1009">
        <v>0</v>
      </c>
      <c r="M1009">
        <v>5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W1009">
        <v>0</v>
      </c>
      <c r="X1009">
        <v>0</v>
      </c>
      <c r="Y1009">
        <v>0</v>
      </c>
      <c r="Z1009">
        <v>5.1358783999999998E-2</v>
      </c>
      <c r="AA1009">
        <v>0</v>
      </c>
      <c r="AB1009" t="s">
        <v>33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f t="shared" si="15"/>
        <v>0</v>
      </c>
    </row>
    <row r="1010" spans="1:34" x14ac:dyDescent="0.25">
      <c r="A1010" s="1">
        <v>44991</v>
      </c>
      <c r="B1010">
        <v>521</v>
      </c>
      <c r="C1010">
        <v>9.6899220000000001E-3</v>
      </c>
      <c r="D1010">
        <v>784</v>
      </c>
      <c r="E1010">
        <v>1.1612903000000001E-2</v>
      </c>
      <c r="F1010">
        <v>-1.922981E-3</v>
      </c>
      <c r="G1010">
        <v>1.922981E-3</v>
      </c>
      <c r="H1010">
        <v>1.4130739999999999E-2</v>
      </c>
      <c r="I1010">
        <v>4.9083592000000002E-2</v>
      </c>
      <c r="J1010">
        <v>0</v>
      </c>
      <c r="K1010">
        <v>0</v>
      </c>
      <c r="L1010">
        <v>0</v>
      </c>
      <c r="M1010">
        <v>5</v>
      </c>
      <c r="N1010">
        <v>1.803428147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W1010">
        <v>0</v>
      </c>
      <c r="X1010">
        <v>0</v>
      </c>
      <c r="Y1010">
        <v>0</v>
      </c>
      <c r="Z1010">
        <v>4.9083592000000002E-2</v>
      </c>
      <c r="AA1010">
        <v>0</v>
      </c>
      <c r="AB1010" t="s">
        <v>33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f t="shared" si="15"/>
        <v>0</v>
      </c>
    </row>
    <row r="1011" spans="1:34" x14ac:dyDescent="0.25">
      <c r="A1011" s="1">
        <v>44992</v>
      </c>
      <c r="B1011">
        <v>524</v>
      </c>
      <c r="C1011">
        <v>5.7581569999999999E-3</v>
      </c>
      <c r="D1011">
        <v>788</v>
      </c>
      <c r="E1011">
        <v>5.1020409999999999E-3</v>
      </c>
      <c r="F1011">
        <v>6.5611700000000001E-4</v>
      </c>
      <c r="G1011">
        <v>6.5611700000000001E-4</v>
      </c>
      <c r="H1011">
        <v>1.1482262E-2</v>
      </c>
      <c r="I1011">
        <v>4.4092039999999999E-2</v>
      </c>
      <c r="J1011">
        <v>1</v>
      </c>
      <c r="K1011">
        <v>0</v>
      </c>
      <c r="L1011">
        <v>0</v>
      </c>
      <c r="M1011">
        <v>5</v>
      </c>
      <c r="N1011">
        <v>1.3324635199999999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W1011">
        <v>0</v>
      </c>
      <c r="X1011">
        <v>0</v>
      </c>
      <c r="Y1011">
        <v>0</v>
      </c>
      <c r="Z1011">
        <v>4.4092039999999999E-2</v>
      </c>
      <c r="AA1011">
        <v>0</v>
      </c>
      <c r="AB1011" t="s">
        <v>33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f t="shared" si="15"/>
        <v>0</v>
      </c>
    </row>
    <row r="1012" spans="1:34" x14ac:dyDescent="0.25">
      <c r="A1012" s="1">
        <v>44993</v>
      </c>
      <c r="B1012">
        <v>521</v>
      </c>
      <c r="C1012">
        <v>-5.7251910000000001E-3</v>
      </c>
      <c r="D1012">
        <v>768</v>
      </c>
      <c r="E1012">
        <v>-2.5380711E-2</v>
      </c>
      <c r="F1012">
        <v>1.9655519999999999E-2</v>
      </c>
      <c r="G1012">
        <v>1.9655519999999999E-2</v>
      </c>
      <c r="H1012">
        <v>7.510315E-3</v>
      </c>
      <c r="I1012">
        <v>1.6180699E-2</v>
      </c>
      <c r="J1012">
        <v>1</v>
      </c>
      <c r="K1012">
        <v>1</v>
      </c>
      <c r="L1012">
        <v>1</v>
      </c>
      <c r="M1012">
        <v>5</v>
      </c>
      <c r="N1012">
        <v>6.5348753369999999</v>
      </c>
      <c r="O1012">
        <v>-33</v>
      </c>
      <c r="P1012">
        <v>5</v>
      </c>
      <c r="Q1012">
        <v>38</v>
      </c>
      <c r="R1012">
        <v>17193</v>
      </c>
      <c r="S1012">
        <v>-3840</v>
      </c>
      <c r="T1012">
        <v>0</v>
      </c>
      <c r="U1012">
        <v>0</v>
      </c>
      <c r="V1012" t="s">
        <v>34</v>
      </c>
      <c r="W1012">
        <v>17193</v>
      </c>
      <c r="X1012">
        <v>-3840</v>
      </c>
      <c r="Y1012">
        <v>0</v>
      </c>
      <c r="Z1012">
        <v>1.6180699E-2</v>
      </c>
      <c r="AA1012">
        <v>21033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21033</v>
      </c>
      <c r="AH1012">
        <f t="shared" si="15"/>
        <v>0</v>
      </c>
    </row>
    <row r="1013" spans="1:34" x14ac:dyDescent="0.25">
      <c r="A1013" s="1">
        <v>44994</v>
      </c>
      <c r="B1013">
        <v>522</v>
      </c>
      <c r="C1013">
        <v>1.9193859999999999E-3</v>
      </c>
      <c r="D1013">
        <v>767</v>
      </c>
      <c r="E1013">
        <v>-1.3020830000000001E-3</v>
      </c>
      <c r="F1013">
        <v>3.2214689999999998E-3</v>
      </c>
      <c r="G1013">
        <v>3.2214689999999998E-3</v>
      </c>
      <c r="H1013">
        <v>6.8929819999999998E-3</v>
      </c>
      <c r="I1013">
        <v>1.4025821000000001E-2</v>
      </c>
      <c r="J1013">
        <v>1</v>
      </c>
      <c r="K1013">
        <v>1</v>
      </c>
      <c r="L1013">
        <v>0</v>
      </c>
      <c r="M1013">
        <v>5</v>
      </c>
      <c r="N1013">
        <v>0.99678470200000002</v>
      </c>
      <c r="O1013">
        <v>33</v>
      </c>
      <c r="P1013">
        <v>-5</v>
      </c>
      <c r="Q1013">
        <v>38</v>
      </c>
      <c r="R1013">
        <v>-17226</v>
      </c>
      <c r="S1013">
        <v>3835</v>
      </c>
      <c r="T1013">
        <v>-33</v>
      </c>
      <c r="U1013">
        <v>-5</v>
      </c>
      <c r="V1013" t="s">
        <v>37</v>
      </c>
      <c r="W1013">
        <v>0</v>
      </c>
      <c r="X1013">
        <v>0</v>
      </c>
      <c r="Y1013">
        <v>0</v>
      </c>
      <c r="Z1013">
        <v>1.4025821000000001E-2</v>
      </c>
      <c r="AA1013">
        <v>21061</v>
      </c>
      <c r="AB1013">
        <v>0</v>
      </c>
      <c r="AC1013">
        <v>-38</v>
      </c>
      <c r="AD1013">
        <v>-1.8042830000000001E-3</v>
      </c>
      <c r="AE1013">
        <v>0</v>
      </c>
      <c r="AF1013">
        <v>0</v>
      </c>
      <c r="AG1013">
        <v>0</v>
      </c>
      <c r="AH1013">
        <f t="shared" si="15"/>
        <v>0</v>
      </c>
    </row>
    <row r="1014" spans="1:34" x14ac:dyDescent="0.25">
      <c r="A1014" s="1">
        <v>44995</v>
      </c>
      <c r="B1014">
        <v>513</v>
      </c>
      <c r="C1014">
        <v>-1.7241379000000001E-2</v>
      </c>
      <c r="D1014">
        <v>756</v>
      </c>
      <c r="E1014">
        <v>-1.4341591000000001E-2</v>
      </c>
      <c r="F1014">
        <v>-2.8997889999999998E-3</v>
      </c>
      <c r="G1014">
        <v>2.8997889999999998E-3</v>
      </c>
      <c r="H1014">
        <v>1.0659597E-2</v>
      </c>
      <c r="I1014">
        <v>1.4952071000000001E-2</v>
      </c>
      <c r="J1014">
        <v>0</v>
      </c>
      <c r="K1014">
        <v>0</v>
      </c>
      <c r="L1014">
        <v>-1</v>
      </c>
      <c r="M1014">
        <v>5</v>
      </c>
      <c r="N1014">
        <v>1.2258285870000001</v>
      </c>
      <c r="O1014">
        <v>33</v>
      </c>
      <c r="P1014">
        <v>-5</v>
      </c>
      <c r="Q1014">
        <v>38</v>
      </c>
      <c r="R1014">
        <v>-16929</v>
      </c>
      <c r="S1014">
        <v>3780</v>
      </c>
      <c r="T1014">
        <v>264</v>
      </c>
      <c r="U1014">
        <v>-60</v>
      </c>
      <c r="V1014" t="s">
        <v>35</v>
      </c>
      <c r="W1014">
        <v>-16929</v>
      </c>
      <c r="X1014">
        <v>3780</v>
      </c>
      <c r="Y1014">
        <v>204</v>
      </c>
      <c r="Z1014">
        <v>1.4952071000000001E-2</v>
      </c>
      <c r="AA1014">
        <v>20709</v>
      </c>
      <c r="AB1014">
        <v>0</v>
      </c>
      <c r="AC1014">
        <v>204</v>
      </c>
      <c r="AD1014">
        <v>9.8507899999999999E-3</v>
      </c>
      <c r="AE1014">
        <v>0</v>
      </c>
      <c r="AF1014">
        <v>204</v>
      </c>
      <c r="AG1014">
        <v>0</v>
      </c>
      <c r="AH1014">
        <f t="shared" si="15"/>
        <v>9.8507895118064605E-3</v>
      </c>
    </row>
    <row r="1015" spans="1:34" x14ac:dyDescent="0.25">
      <c r="A1015" s="1">
        <v>44998</v>
      </c>
      <c r="B1015">
        <v>516</v>
      </c>
      <c r="C1015">
        <v>5.8479530000000004E-3</v>
      </c>
      <c r="D1015">
        <v>764</v>
      </c>
      <c r="E1015">
        <v>1.0582011000000001E-2</v>
      </c>
      <c r="F1015">
        <v>-4.7340569999999998E-3</v>
      </c>
      <c r="G1015">
        <v>4.7340569999999998E-3</v>
      </c>
      <c r="H1015">
        <v>9.7884519999999996E-3</v>
      </c>
      <c r="I1015">
        <v>1.4672597000000001E-2</v>
      </c>
      <c r="J1015">
        <v>0</v>
      </c>
      <c r="K1015">
        <v>0</v>
      </c>
      <c r="L1015">
        <v>0</v>
      </c>
      <c r="M1015">
        <v>5</v>
      </c>
      <c r="N1015">
        <v>2.6792174229999999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W1015">
        <v>0</v>
      </c>
      <c r="X1015">
        <v>0</v>
      </c>
      <c r="Y1015">
        <v>0</v>
      </c>
      <c r="Z1015">
        <v>1.4672597000000001E-2</v>
      </c>
      <c r="AA1015">
        <v>0</v>
      </c>
      <c r="AB1015" t="s">
        <v>33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f t="shared" si="15"/>
        <v>0</v>
      </c>
    </row>
    <row r="1016" spans="1:34" x14ac:dyDescent="0.25">
      <c r="A1016" s="1">
        <v>44999</v>
      </c>
      <c r="B1016">
        <v>510</v>
      </c>
      <c r="C1016">
        <v>-1.1627907E-2</v>
      </c>
      <c r="D1016">
        <v>761</v>
      </c>
      <c r="E1016">
        <v>-3.9267019999999998E-3</v>
      </c>
      <c r="F1016">
        <v>-7.701205E-3</v>
      </c>
      <c r="G1016">
        <v>7.701205E-3</v>
      </c>
      <c r="H1016">
        <v>9.4762170000000003E-3</v>
      </c>
      <c r="I1016">
        <v>1.3626338E-2</v>
      </c>
      <c r="J1016">
        <v>0</v>
      </c>
      <c r="K1016">
        <v>0</v>
      </c>
      <c r="L1016">
        <v>0</v>
      </c>
      <c r="M1016">
        <v>5</v>
      </c>
      <c r="N1016">
        <v>0.50389590399999995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W1016">
        <v>0</v>
      </c>
      <c r="X1016">
        <v>0</v>
      </c>
      <c r="Y1016">
        <v>0</v>
      </c>
      <c r="Z1016">
        <v>1.3626338E-2</v>
      </c>
      <c r="AA1016">
        <v>0</v>
      </c>
      <c r="AB1016" t="s">
        <v>33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f t="shared" si="15"/>
        <v>0</v>
      </c>
    </row>
    <row r="1017" spans="1:34" x14ac:dyDescent="0.25">
      <c r="A1017" s="1">
        <v>45000</v>
      </c>
      <c r="B1017">
        <v>511</v>
      </c>
      <c r="C1017">
        <v>1.9607840000000001E-3</v>
      </c>
      <c r="D1017">
        <v>758</v>
      </c>
      <c r="E1017">
        <v>-3.9421810000000003E-3</v>
      </c>
      <c r="F1017">
        <v>5.9029659999999999E-3</v>
      </c>
      <c r="G1017">
        <v>5.9029659999999999E-3</v>
      </c>
      <c r="H1017">
        <v>1.0011541000000001E-2</v>
      </c>
      <c r="I1017">
        <v>8.9004989999999992E-3</v>
      </c>
      <c r="J1017">
        <v>1</v>
      </c>
      <c r="K1017">
        <v>0</v>
      </c>
      <c r="L1017">
        <v>0</v>
      </c>
      <c r="M1017">
        <v>5</v>
      </c>
      <c r="N1017">
        <v>2.982325758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W1017">
        <v>0</v>
      </c>
      <c r="X1017">
        <v>0</v>
      </c>
      <c r="Y1017">
        <v>0</v>
      </c>
      <c r="Z1017">
        <v>1.0011541000000001E-2</v>
      </c>
      <c r="AA1017">
        <v>0</v>
      </c>
      <c r="AB1017" t="s">
        <v>33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f t="shared" si="15"/>
        <v>0</v>
      </c>
    </row>
    <row r="1018" spans="1:34" x14ac:dyDescent="0.25">
      <c r="A1018" s="1">
        <v>45001</v>
      </c>
      <c r="B1018">
        <v>505</v>
      </c>
      <c r="C1018">
        <v>-1.1741682999999999E-2</v>
      </c>
      <c r="D1018">
        <v>756</v>
      </c>
      <c r="E1018">
        <v>-2.6385219999999999E-3</v>
      </c>
      <c r="F1018">
        <v>-9.1031610000000002E-3</v>
      </c>
      <c r="G1018">
        <v>9.1031610000000002E-3</v>
      </c>
      <c r="H1018">
        <v>9.9144650000000008E-3</v>
      </c>
      <c r="I1018">
        <v>8.8723220000000002E-3</v>
      </c>
      <c r="J1018">
        <v>0</v>
      </c>
      <c r="K1018">
        <v>0</v>
      </c>
      <c r="L1018">
        <v>0</v>
      </c>
      <c r="M1018">
        <v>5</v>
      </c>
      <c r="N1018">
        <v>0.33640377199999999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W1018">
        <v>0</v>
      </c>
      <c r="X1018">
        <v>0</v>
      </c>
      <c r="Y1018">
        <v>0</v>
      </c>
      <c r="Z1018">
        <v>9.9144650000000008E-3</v>
      </c>
      <c r="AA1018">
        <v>0</v>
      </c>
      <c r="AB1018" t="s">
        <v>33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f t="shared" si="15"/>
        <v>0</v>
      </c>
    </row>
    <row r="1019" spans="1:34" x14ac:dyDescent="0.25">
      <c r="A1019" s="1">
        <v>45002</v>
      </c>
      <c r="B1019">
        <v>518</v>
      </c>
      <c r="C1019">
        <v>2.5742574000000001E-2</v>
      </c>
      <c r="D1019">
        <v>773</v>
      </c>
      <c r="E1019">
        <v>2.2486771999999999E-2</v>
      </c>
      <c r="F1019">
        <v>3.2558019999999999E-3</v>
      </c>
      <c r="G1019">
        <v>3.2558019999999999E-3</v>
      </c>
      <c r="H1019">
        <v>1.5435877000000001E-2</v>
      </c>
      <c r="I1019">
        <v>1.1765971E-2</v>
      </c>
      <c r="J1019">
        <v>1</v>
      </c>
      <c r="K1019">
        <v>0</v>
      </c>
      <c r="L1019">
        <v>0</v>
      </c>
      <c r="M1019">
        <v>5</v>
      </c>
      <c r="N1019">
        <v>1.303541571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W1019">
        <v>0</v>
      </c>
      <c r="X1019">
        <v>0</v>
      </c>
      <c r="Y1019">
        <v>0</v>
      </c>
      <c r="Z1019">
        <v>1.5435877000000001E-2</v>
      </c>
      <c r="AA1019">
        <v>0</v>
      </c>
      <c r="AB1019" t="s">
        <v>33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f t="shared" si="15"/>
        <v>0</v>
      </c>
    </row>
    <row r="1020" spans="1:34" x14ac:dyDescent="0.25">
      <c r="A1020" s="1">
        <v>45005</v>
      </c>
      <c r="B1020">
        <v>512</v>
      </c>
      <c r="C1020">
        <v>-1.1583012E-2</v>
      </c>
      <c r="D1020">
        <v>770</v>
      </c>
      <c r="E1020">
        <v>-3.8809830000000002E-3</v>
      </c>
      <c r="F1020">
        <v>-7.7020279999999997E-3</v>
      </c>
      <c r="G1020">
        <v>7.7020279999999997E-3</v>
      </c>
      <c r="H1020">
        <v>1.6303802999999999E-2</v>
      </c>
      <c r="I1020">
        <v>1.1678203999999999E-2</v>
      </c>
      <c r="J1020">
        <v>0</v>
      </c>
      <c r="K1020">
        <v>0</v>
      </c>
      <c r="L1020">
        <v>0</v>
      </c>
      <c r="M1020">
        <v>5</v>
      </c>
      <c r="N1020">
        <v>0.50389614299999996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W1020">
        <v>0</v>
      </c>
      <c r="X1020">
        <v>0</v>
      </c>
      <c r="Y1020">
        <v>0</v>
      </c>
      <c r="Z1020">
        <v>1.6303802999999999E-2</v>
      </c>
      <c r="AA1020">
        <v>0</v>
      </c>
      <c r="AB1020" t="s">
        <v>33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f t="shared" si="15"/>
        <v>0</v>
      </c>
    </row>
    <row r="1021" spans="1:34" x14ac:dyDescent="0.25">
      <c r="A1021" s="1">
        <v>45006</v>
      </c>
      <c r="B1021">
        <v>517</v>
      </c>
      <c r="C1021">
        <v>9.765625E-3</v>
      </c>
      <c r="D1021">
        <v>771</v>
      </c>
      <c r="E1021">
        <v>1.298701E-3</v>
      </c>
      <c r="F1021">
        <v>8.4669240000000007E-3</v>
      </c>
      <c r="G1021">
        <v>8.4669240000000007E-3</v>
      </c>
      <c r="H1021">
        <v>1.5763196E-2</v>
      </c>
      <c r="I1021">
        <v>1.1284963E-2</v>
      </c>
      <c r="J1021">
        <v>1</v>
      </c>
      <c r="K1021">
        <v>0</v>
      </c>
      <c r="L1021">
        <v>0</v>
      </c>
      <c r="M1021">
        <v>5</v>
      </c>
      <c r="N1021">
        <v>0.198322992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W1021">
        <v>0</v>
      </c>
      <c r="X1021">
        <v>0</v>
      </c>
      <c r="Y1021">
        <v>0</v>
      </c>
      <c r="Z1021">
        <v>1.5763196E-2</v>
      </c>
      <c r="AA1021">
        <v>0</v>
      </c>
      <c r="AB1021" t="s">
        <v>33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f t="shared" si="15"/>
        <v>0</v>
      </c>
    </row>
    <row r="1022" spans="1:34" x14ac:dyDescent="0.25">
      <c r="A1022" s="1">
        <v>45007</v>
      </c>
      <c r="B1022">
        <v>533</v>
      </c>
      <c r="C1022">
        <v>3.0947776E-2</v>
      </c>
      <c r="D1022">
        <v>781</v>
      </c>
      <c r="E1022">
        <v>1.2970169E-2</v>
      </c>
      <c r="F1022">
        <v>1.7977607E-2</v>
      </c>
      <c r="G1022">
        <v>1.7977607E-2</v>
      </c>
      <c r="H1022">
        <v>2.0098409000000001E-2</v>
      </c>
      <c r="I1022">
        <v>1.1344006E-2</v>
      </c>
      <c r="J1022">
        <v>1</v>
      </c>
      <c r="K1022">
        <v>0</v>
      </c>
      <c r="L1022">
        <v>0</v>
      </c>
      <c r="M1022">
        <v>5</v>
      </c>
      <c r="N1022">
        <v>0.614101287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W1022">
        <v>0</v>
      </c>
      <c r="X1022">
        <v>0</v>
      </c>
      <c r="Y1022">
        <v>0</v>
      </c>
      <c r="Z1022">
        <v>2.0098409000000001E-2</v>
      </c>
      <c r="AA1022">
        <v>0</v>
      </c>
      <c r="AB1022" t="s">
        <v>33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f t="shared" si="15"/>
        <v>0</v>
      </c>
    </row>
    <row r="1023" spans="1:34" x14ac:dyDescent="0.25">
      <c r="A1023" s="1">
        <v>45008</v>
      </c>
      <c r="B1023">
        <v>538</v>
      </c>
      <c r="C1023">
        <v>9.3808629999999997E-3</v>
      </c>
      <c r="D1023">
        <v>793</v>
      </c>
      <c r="E1023">
        <v>1.5364917000000001E-2</v>
      </c>
      <c r="F1023">
        <v>-5.9840539999999999E-3</v>
      </c>
      <c r="G1023">
        <v>5.9840539999999999E-3</v>
      </c>
      <c r="H1023">
        <v>1.6675342999999999E-2</v>
      </c>
      <c r="I1023">
        <v>1.0738927000000001E-2</v>
      </c>
      <c r="J1023">
        <v>0</v>
      </c>
      <c r="K1023">
        <v>0</v>
      </c>
      <c r="L1023">
        <v>0</v>
      </c>
      <c r="M1023">
        <v>5</v>
      </c>
      <c r="N1023">
        <v>2.4142282559999999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W1023">
        <v>0</v>
      </c>
      <c r="X1023">
        <v>0</v>
      </c>
      <c r="Y1023">
        <v>0</v>
      </c>
      <c r="Z1023">
        <v>1.6675342999999999E-2</v>
      </c>
      <c r="AA1023">
        <v>0</v>
      </c>
      <c r="AB1023" t="s">
        <v>33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f t="shared" si="15"/>
        <v>0</v>
      </c>
    </row>
    <row r="1024" spans="1:34" x14ac:dyDescent="0.25">
      <c r="A1024" s="1">
        <v>45009</v>
      </c>
      <c r="B1024">
        <v>539</v>
      </c>
      <c r="C1024">
        <v>1.8587359999999999E-3</v>
      </c>
      <c r="D1024">
        <v>790</v>
      </c>
      <c r="E1024">
        <v>-3.783102E-3</v>
      </c>
      <c r="F1024">
        <v>5.6418379999999997E-3</v>
      </c>
      <c r="G1024">
        <v>5.6418379999999997E-3</v>
      </c>
      <c r="H1024">
        <v>1.5433784000000001E-2</v>
      </c>
      <c r="I1024">
        <v>9.2037070000000002E-3</v>
      </c>
      <c r="J1024">
        <v>1</v>
      </c>
      <c r="K1024">
        <v>0</v>
      </c>
      <c r="L1024">
        <v>0</v>
      </c>
      <c r="M1024">
        <v>5</v>
      </c>
      <c r="N1024">
        <v>2.9831058869999998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W1024">
        <v>0</v>
      </c>
      <c r="X1024">
        <v>0</v>
      </c>
      <c r="Y1024">
        <v>0</v>
      </c>
      <c r="Z1024">
        <v>1.5433784000000001E-2</v>
      </c>
      <c r="AA1024">
        <v>0</v>
      </c>
      <c r="AB1024" t="s">
        <v>33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f t="shared" si="15"/>
        <v>0</v>
      </c>
    </row>
    <row r="1025" spans="1:34" x14ac:dyDescent="0.25">
      <c r="A1025" s="1">
        <v>45012</v>
      </c>
      <c r="B1025">
        <v>531</v>
      </c>
      <c r="C1025">
        <v>-1.4842301E-2</v>
      </c>
      <c r="D1025">
        <v>780</v>
      </c>
      <c r="E1025">
        <v>-1.2658228000000001E-2</v>
      </c>
      <c r="F1025">
        <v>-2.1840729999999999E-3</v>
      </c>
      <c r="G1025">
        <v>2.1840729999999999E-3</v>
      </c>
      <c r="H1025">
        <v>1.6503338999999999E-2</v>
      </c>
      <c r="I1025">
        <v>1.1680400000000001E-2</v>
      </c>
      <c r="J1025">
        <v>0</v>
      </c>
      <c r="K1025">
        <v>0</v>
      </c>
      <c r="L1025">
        <v>0</v>
      </c>
      <c r="M1025">
        <v>5</v>
      </c>
      <c r="N1025">
        <v>1.252771222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W1025">
        <v>0</v>
      </c>
      <c r="X1025">
        <v>0</v>
      </c>
      <c r="Y1025">
        <v>0</v>
      </c>
      <c r="Z1025">
        <v>1.6503338999999999E-2</v>
      </c>
      <c r="AA1025">
        <v>0</v>
      </c>
      <c r="AB1025" t="s">
        <v>33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f t="shared" si="15"/>
        <v>0</v>
      </c>
    </row>
    <row r="1026" spans="1:34" x14ac:dyDescent="0.25">
      <c r="A1026" s="1">
        <v>45013</v>
      </c>
      <c r="B1026">
        <v>525</v>
      </c>
      <c r="C1026">
        <v>-1.1299435E-2</v>
      </c>
      <c r="D1026">
        <v>766</v>
      </c>
      <c r="E1026">
        <v>-1.7948717999999999E-2</v>
      </c>
      <c r="F1026">
        <v>6.6492829999999998E-3</v>
      </c>
      <c r="G1026">
        <v>6.6492829999999998E-3</v>
      </c>
      <c r="H1026">
        <v>1.8341884999999999E-2</v>
      </c>
      <c r="I1026">
        <v>1.4947178E-2</v>
      </c>
      <c r="J1026">
        <v>1</v>
      </c>
      <c r="K1026">
        <v>0</v>
      </c>
      <c r="L1026">
        <v>0</v>
      </c>
      <c r="M1026">
        <v>5</v>
      </c>
      <c r="N1026">
        <v>2.317641026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W1026">
        <v>0</v>
      </c>
      <c r="X1026">
        <v>0</v>
      </c>
      <c r="Y1026">
        <v>0</v>
      </c>
      <c r="Z1026">
        <v>1.8341884999999999E-2</v>
      </c>
      <c r="AA1026">
        <v>0</v>
      </c>
      <c r="AB1026" t="s">
        <v>33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f t="shared" si="15"/>
        <v>0</v>
      </c>
    </row>
    <row r="1027" spans="1:34" x14ac:dyDescent="0.25">
      <c r="A1027" s="1">
        <v>45014</v>
      </c>
      <c r="B1027">
        <v>530</v>
      </c>
      <c r="C1027">
        <v>9.5238100000000006E-3</v>
      </c>
      <c r="D1027">
        <v>773</v>
      </c>
      <c r="E1027">
        <v>9.1383809999999992E-3</v>
      </c>
      <c r="F1027">
        <v>3.85428E-4</v>
      </c>
      <c r="G1027">
        <v>3.85428E-4</v>
      </c>
      <c r="H1027">
        <v>1.1449282E-2</v>
      </c>
      <c r="I1027">
        <v>1.4113293000000001E-2</v>
      </c>
      <c r="J1027">
        <v>1</v>
      </c>
      <c r="K1027">
        <v>0</v>
      </c>
      <c r="L1027">
        <v>0</v>
      </c>
      <c r="M1027">
        <v>5</v>
      </c>
      <c r="N1027">
        <v>1.399465491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W1027">
        <v>0</v>
      </c>
      <c r="X1027">
        <v>0</v>
      </c>
      <c r="Y1027">
        <v>0</v>
      </c>
      <c r="Z1027">
        <v>1.4113293000000001E-2</v>
      </c>
      <c r="AA1027">
        <v>0</v>
      </c>
      <c r="AB1027" t="s">
        <v>33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f t="shared" ref="AH1027:AH1090" si="16">IF(AF1027&lt;&gt;0,AF1027/AA1027,0)</f>
        <v>0</v>
      </c>
    </row>
    <row r="1028" spans="1:34" x14ac:dyDescent="0.25">
      <c r="A1028" s="1">
        <v>45015</v>
      </c>
      <c r="B1028">
        <v>535</v>
      </c>
      <c r="C1028">
        <v>9.4339620000000006E-3</v>
      </c>
      <c r="D1028">
        <v>778</v>
      </c>
      <c r="E1028">
        <v>6.4683049999999997E-3</v>
      </c>
      <c r="F1028">
        <v>2.965657E-3</v>
      </c>
      <c r="G1028">
        <v>2.965657E-3</v>
      </c>
      <c r="H1028">
        <v>1.1461424E-2</v>
      </c>
      <c r="I1028">
        <v>1.174186E-2</v>
      </c>
      <c r="J1028">
        <v>1</v>
      </c>
      <c r="K1028">
        <v>0</v>
      </c>
      <c r="L1028">
        <v>0</v>
      </c>
      <c r="M1028">
        <v>5</v>
      </c>
      <c r="N1028">
        <v>0.997062059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W1028">
        <v>0</v>
      </c>
      <c r="X1028">
        <v>0</v>
      </c>
      <c r="Y1028">
        <v>0</v>
      </c>
      <c r="Z1028">
        <v>1.174186E-2</v>
      </c>
      <c r="AA1028">
        <v>0</v>
      </c>
      <c r="AB1028" t="s">
        <v>33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f t="shared" si="16"/>
        <v>0</v>
      </c>
    </row>
    <row r="1029" spans="1:34" x14ac:dyDescent="0.25">
      <c r="A1029" s="1">
        <v>45016</v>
      </c>
      <c r="B1029">
        <v>533</v>
      </c>
      <c r="C1029">
        <v>-3.738318E-3</v>
      </c>
      <c r="D1029">
        <v>787</v>
      </c>
      <c r="E1029">
        <v>1.1568123E-2</v>
      </c>
      <c r="F1029">
        <v>-1.5306441E-2</v>
      </c>
      <c r="G1029">
        <v>1.5306441E-2</v>
      </c>
      <c r="H1029">
        <v>1.1377494E-2</v>
      </c>
      <c r="I1029">
        <v>1.3594133E-2</v>
      </c>
      <c r="J1029">
        <v>0</v>
      </c>
      <c r="K1029">
        <v>1</v>
      </c>
      <c r="L1029">
        <v>1</v>
      </c>
      <c r="M1029">
        <v>5</v>
      </c>
      <c r="N1029">
        <v>4.5691374429999998</v>
      </c>
      <c r="O1029">
        <v>23</v>
      </c>
      <c r="P1029">
        <v>-5</v>
      </c>
      <c r="Q1029">
        <v>28</v>
      </c>
      <c r="R1029">
        <v>-12259</v>
      </c>
      <c r="S1029">
        <v>3935</v>
      </c>
      <c r="T1029">
        <v>0</v>
      </c>
      <c r="U1029">
        <v>0</v>
      </c>
      <c r="V1029" t="s">
        <v>34</v>
      </c>
      <c r="W1029">
        <v>-12259</v>
      </c>
      <c r="X1029">
        <v>3935</v>
      </c>
      <c r="Y1029">
        <v>0</v>
      </c>
      <c r="Z1029">
        <v>1.3594133E-2</v>
      </c>
      <c r="AA1029">
        <v>16194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16194</v>
      </c>
      <c r="AH1029">
        <f t="shared" si="16"/>
        <v>0</v>
      </c>
    </row>
    <row r="1030" spans="1:34" x14ac:dyDescent="0.25">
      <c r="A1030" s="1">
        <v>45022</v>
      </c>
      <c r="B1030">
        <v>530</v>
      </c>
      <c r="C1030">
        <v>-5.6285179999999999E-3</v>
      </c>
      <c r="D1030">
        <v>753</v>
      </c>
      <c r="E1030">
        <v>-4.3202033000000001E-2</v>
      </c>
      <c r="F1030">
        <v>3.7573515000000002E-2</v>
      </c>
      <c r="G1030">
        <v>3.7573515000000002E-2</v>
      </c>
      <c r="H1030">
        <v>9.3868430000000006E-3</v>
      </c>
      <c r="I1030">
        <v>2.3541823E-2</v>
      </c>
      <c r="J1030">
        <v>1</v>
      </c>
      <c r="K1030">
        <v>0</v>
      </c>
      <c r="L1030">
        <v>-1</v>
      </c>
      <c r="M1030">
        <v>5</v>
      </c>
      <c r="N1030">
        <v>10.905089780000001</v>
      </c>
      <c r="O1030">
        <v>-23</v>
      </c>
      <c r="P1030">
        <v>5</v>
      </c>
      <c r="Q1030">
        <v>28</v>
      </c>
      <c r="R1030">
        <v>12190</v>
      </c>
      <c r="S1030">
        <v>-3765</v>
      </c>
      <c r="T1030">
        <v>-69</v>
      </c>
      <c r="U1030">
        <v>170</v>
      </c>
      <c r="V1030" t="s">
        <v>35</v>
      </c>
      <c r="W1030">
        <v>12190</v>
      </c>
      <c r="X1030">
        <v>-3765</v>
      </c>
      <c r="Y1030">
        <v>101</v>
      </c>
      <c r="Z1030">
        <v>2.3541823E-2</v>
      </c>
      <c r="AA1030">
        <v>15955</v>
      </c>
      <c r="AB1030">
        <v>0</v>
      </c>
      <c r="AC1030">
        <v>101</v>
      </c>
      <c r="AD1030">
        <v>6.3303040000000001E-3</v>
      </c>
      <c r="AE1030">
        <v>0</v>
      </c>
      <c r="AF1030">
        <v>101</v>
      </c>
      <c r="AG1030">
        <v>0</v>
      </c>
      <c r="AH1030">
        <f t="shared" si="16"/>
        <v>6.3303039799435913E-3</v>
      </c>
    </row>
    <row r="1031" spans="1:34" x14ac:dyDescent="0.25">
      <c r="A1031" s="1">
        <v>45023</v>
      </c>
      <c r="B1031">
        <v>531</v>
      </c>
      <c r="C1031">
        <v>1.886792E-3</v>
      </c>
      <c r="D1031">
        <v>749</v>
      </c>
      <c r="E1031">
        <v>-5.3120850000000002E-3</v>
      </c>
      <c r="F1031">
        <v>7.1988770000000002E-3</v>
      </c>
      <c r="G1031">
        <v>7.1988770000000002E-3</v>
      </c>
      <c r="H1031">
        <v>7.1163570000000002E-3</v>
      </c>
      <c r="I1031">
        <v>2.270865E-2</v>
      </c>
      <c r="J1031">
        <v>1</v>
      </c>
      <c r="K1031">
        <v>0</v>
      </c>
      <c r="L1031">
        <v>0</v>
      </c>
      <c r="M1031">
        <v>5</v>
      </c>
      <c r="N1031">
        <v>3.9712587190000002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W1031">
        <v>0</v>
      </c>
      <c r="X1031">
        <v>0</v>
      </c>
      <c r="Y1031">
        <v>0</v>
      </c>
      <c r="Z1031">
        <v>2.270865E-2</v>
      </c>
      <c r="AA1031">
        <v>0</v>
      </c>
      <c r="AB1031" t="s">
        <v>33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f t="shared" si="16"/>
        <v>0</v>
      </c>
    </row>
    <row r="1032" spans="1:34" x14ac:dyDescent="0.25">
      <c r="A1032" s="1">
        <v>45026</v>
      </c>
      <c r="B1032">
        <v>529</v>
      </c>
      <c r="C1032">
        <v>-3.7664780000000002E-3</v>
      </c>
      <c r="D1032">
        <v>742</v>
      </c>
      <c r="E1032">
        <v>-9.3457939999999993E-3</v>
      </c>
      <c r="F1032">
        <v>5.579316E-3</v>
      </c>
      <c r="G1032">
        <v>5.579316E-3</v>
      </c>
      <c r="H1032">
        <v>6.1592239999999996E-3</v>
      </c>
      <c r="I1032">
        <v>2.145027E-2</v>
      </c>
      <c r="J1032">
        <v>1</v>
      </c>
      <c r="K1032">
        <v>0</v>
      </c>
      <c r="L1032">
        <v>0</v>
      </c>
      <c r="M1032">
        <v>5</v>
      </c>
      <c r="N1032">
        <v>3.4803985650000002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W1032">
        <v>0</v>
      </c>
      <c r="X1032">
        <v>0</v>
      </c>
      <c r="Y1032">
        <v>0</v>
      </c>
      <c r="Z1032">
        <v>2.145027E-2</v>
      </c>
      <c r="AA1032">
        <v>0</v>
      </c>
      <c r="AB1032" t="s">
        <v>33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f t="shared" si="16"/>
        <v>0</v>
      </c>
    </row>
    <row r="1033" spans="1:34" x14ac:dyDescent="0.25">
      <c r="A1033" s="1">
        <v>45027</v>
      </c>
      <c r="B1033">
        <v>524</v>
      </c>
      <c r="C1033">
        <v>-9.4517960000000002E-3</v>
      </c>
      <c r="D1033">
        <v>756</v>
      </c>
      <c r="E1033">
        <v>1.8867925000000001E-2</v>
      </c>
      <c r="F1033">
        <v>-2.831972E-2</v>
      </c>
      <c r="G1033">
        <v>2.831972E-2</v>
      </c>
      <c r="H1033">
        <v>4.0943239999999999E-3</v>
      </c>
      <c r="I1033">
        <v>2.4090371999999999E-2</v>
      </c>
      <c r="J1033">
        <v>0</v>
      </c>
      <c r="K1033">
        <v>1</v>
      </c>
      <c r="L1033">
        <v>1</v>
      </c>
      <c r="M1033">
        <v>5</v>
      </c>
      <c r="N1033">
        <v>2.8800518510000002</v>
      </c>
      <c r="O1033">
        <v>15</v>
      </c>
      <c r="P1033">
        <v>-5</v>
      </c>
      <c r="Q1033">
        <v>20</v>
      </c>
      <c r="R1033">
        <v>-7860</v>
      </c>
      <c r="S1033">
        <v>3780</v>
      </c>
      <c r="T1033">
        <v>0</v>
      </c>
      <c r="U1033">
        <v>0</v>
      </c>
      <c r="V1033" t="s">
        <v>34</v>
      </c>
      <c r="W1033">
        <v>-7860</v>
      </c>
      <c r="X1033">
        <v>3780</v>
      </c>
      <c r="Y1033">
        <v>0</v>
      </c>
      <c r="Z1033">
        <v>2.4090371999999999E-2</v>
      </c>
      <c r="AA1033">
        <v>11640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11640</v>
      </c>
      <c r="AH1033">
        <f t="shared" si="16"/>
        <v>0</v>
      </c>
    </row>
    <row r="1034" spans="1:34" x14ac:dyDescent="0.25">
      <c r="A1034" s="1">
        <v>45028</v>
      </c>
      <c r="B1034">
        <v>520</v>
      </c>
      <c r="C1034">
        <v>-7.6335880000000002E-3</v>
      </c>
      <c r="D1034">
        <v>758</v>
      </c>
      <c r="E1034">
        <v>2.645503E-3</v>
      </c>
      <c r="F1034">
        <v>-1.0279089999999999E-2</v>
      </c>
      <c r="G1034">
        <v>1.0279089999999999E-2</v>
      </c>
      <c r="H1034">
        <v>4.3607840000000004E-3</v>
      </c>
      <c r="I1034">
        <v>2.2807682999999999E-2</v>
      </c>
      <c r="J1034">
        <v>0</v>
      </c>
      <c r="K1034">
        <v>1</v>
      </c>
      <c r="L1034">
        <v>0</v>
      </c>
      <c r="M1034">
        <v>5</v>
      </c>
      <c r="N1034">
        <v>0.50517908</v>
      </c>
      <c r="O1034">
        <v>-15</v>
      </c>
      <c r="P1034">
        <v>5</v>
      </c>
      <c r="Q1034">
        <v>20</v>
      </c>
      <c r="R1034">
        <v>7800</v>
      </c>
      <c r="S1034">
        <v>-3790</v>
      </c>
      <c r="T1034">
        <v>-60</v>
      </c>
      <c r="U1034">
        <v>-10</v>
      </c>
      <c r="V1034" t="s">
        <v>37</v>
      </c>
      <c r="W1034">
        <v>0</v>
      </c>
      <c r="X1034">
        <v>0</v>
      </c>
      <c r="Y1034">
        <v>0</v>
      </c>
      <c r="Z1034">
        <v>2.2807682999999999E-2</v>
      </c>
      <c r="AA1034">
        <v>11590</v>
      </c>
      <c r="AB1034">
        <v>0</v>
      </c>
      <c r="AC1034">
        <v>-70</v>
      </c>
      <c r="AD1034">
        <v>-6.039689E-3</v>
      </c>
      <c r="AE1034">
        <v>0</v>
      </c>
      <c r="AF1034">
        <v>0</v>
      </c>
      <c r="AG1034">
        <v>0</v>
      </c>
      <c r="AH1034">
        <f t="shared" si="16"/>
        <v>0</v>
      </c>
    </row>
    <row r="1035" spans="1:34" x14ac:dyDescent="0.25">
      <c r="A1035" s="1">
        <v>45029</v>
      </c>
      <c r="B1035">
        <v>510</v>
      </c>
      <c r="C1035">
        <v>-1.9230769000000002E-2</v>
      </c>
      <c r="D1035">
        <v>750</v>
      </c>
      <c r="E1035">
        <v>-1.055409E-2</v>
      </c>
      <c r="F1035">
        <v>-8.6766800000000009E-3</v>
      </c>
      <c r="G1035">
        <v>8.6766800000000009E-3</v>
      </c>
      <c r="H1035">
        <v>7.8005210000000004E-3</v>
      </c>
      <c r="I1035">
        <v>1.2116231999999999E-2</v>
      </c>
      <c r="J1035">
        <v>0</v>
      </c>
      <c r="K1035">
        <v>1</v>
      </c>
      <c r="L1035">
        <v>0</v>
      </c>
      <c r="M1035">
        <v>5</v>
      </c>
      <c r="N1035">
        <v>0.80707744800000003</v>
      </c>
      <c r="O1035">
        <v>-15</v>
      </c>
      <c r="P1035">
        <v>5</v>
      </c>
      <c r="Q1035">
        <v>20</v>
      </c>
      <c r="R1035">
        <v>7650</v>
      </c>
      <c r="S1035">
        <v>-3750</v>
      </c>
      <c r="T1035">
        <v>-210</v>
      </c>
      <c r="U1035">
        <v>30</v>
      </c>
      <c r="V1035" t="s">
        <v>37</v>
      </c>
      <c r="W1035">
        <v>0</v>
      </c>
      <c r="X1035">
        <v>0</v>
      </c>
      <c r="Y1035">
        <v>0</v>
      </c>
      <c r="Z1035">
        <v>1.2116231999999999E-2</v>
      </c>
      <c r="AA1035">
        <v>11400</v>
      </c>
      <c r="AB1035">
        <v>0</v>
      </c>
      <c r="AC1035">
        <v>-180</v>
      </c>
      <c r="AD1035">
        <v>-1.5789474000000001E-2</v>
      </c>
      <c r="AE1035">
        <v>1</v>
      </c>
      <c r="AF1035">
        <v>-180</v>
      </c>
      <c r="AG1035">
        <v>0</v>
      </c>
      <c r="AH1035">
        <f t="shared" si="16"/>
        <v>-1.5789473684210527E-2</v>
      </c>
    </row>
    <row r="1036" spans="1:34" x14ac:dyDescent="0.25">
      <c r="A1036" s="1">
        <v>45030</v>
      </c>
      <c r="B1036">
        <v>516</v>
      </c>
      <c r="C1036">
        <v>1.1764706E-2</v>
      </c>
      <c r="D1036">
        <v>748</v>
      </c>
      <c r="E1036">
        <v>-2.6666670000000002E-3</v>
      </c>
      <c r="F1036">
        <v>1.4431373000000001E-2</v>
      </c>
      <c r="G1036">
        <v>1.4431373000000001E-2</v>
      </c>
      <c r="H1036">
        <v>1.1287650999999999E-2</v>
      </c>
      <c r="I1036">
        <v>1.1922868999999999E-2</v>
      </c>
      <c r="J1036">
        <v>1</v>
      </c>
      <c r="K1036">
        <v>0</v>
      </c>
      <c r="L1036">
        <v>-1</v>
      </c>
      <c r="M1036">
        <v>5</v>
      </c>
      <c r="N1036">
        <v>0.32857881100000003</v>
      </c>
      <c r="O1036">
        <v>-15</v>
      </c>
      <c r="P1036">
        <v>5</v>
      </c>
      <c r="Q1036">
        <v>20</v>
      </c>
      <c r="R1036">
        <v>7740</v>
      </c>
      <c r="S1036">
        <v>-3740</v>
      </c>
      <c r="T1036">
        <v>-120</v>
      </c>
      <c r="U1036">
        <v>40</v>
      </c>
      <c r="V1036" t="s">
        <v>35</v>
      </c>
      <c r="W1036">
        <v>7740</v>
      </c>
      <c r="X1036">
        <v>-3740</v>
      </c>
      <c r="Y1036">
        <v>-80</v>
      </c>
      <c r="Z1036">
        <v>1.1922868999999999E-2</v>
      </c>
      <c r="AA1036">
        <v>11480</v>
      </c>
      <c r="AB1036">
        <v>0</v>
      </c>
      <c r="AC1036">
        <v>-80</v>
      </c>
      <c r="AD1036">
        <v>-6.9686410000000002E-3</v>
      </c>
      <c r="AE1036">
        <v>0</v>
      </c>
      <c r="AF1036">
        <v>0</v>
      </c>
      <c r="AG1036">
        <v>0</v>
      </c>
      <c r="AH1036">
        <f t="shared" si="16"/>
        <v>0</v>
      </c>
    </row>
    <row r="1037" spans="1:34" x14ac:dyDescent="0.25">
      <c r="A1037" s="1">
        <v>45033</v>
      </c>
      <c r="B1037">
        <v>520</v>
      </c>
      <c r="C1037">
        <v>7.7519379999999999E-3</v>
      </c>
      <c r="D1037">
        <v>709</v>
      </c>
      <c r="E1037">
        <v>-5.2139036999999999E-2</v>
      </c>
      <c r="F1037">
        <v>5.9890974999999999E-2</v>
      </c>
      <c r="G1037">
        <v>5.9890974999999999E-2</v>
      </c>
      <c r="H1037">
        <v>1.2840236999999999E-2</v>
      </c>
      <c r="I1037">
        <v>2.6530528000000001E-2</v>
      </c>
      <c r="J1037">
        <v>1</v>
      </c>
      <c r="K1037">
        <v>1</v>
      </c>
      <c r="L1037">
        <v>1</v>
      </c>
      <c r="M1037">
        <v>5</v>
      </c>
      <c r="N1037">
        <v>9.1705548130000007</v>
      </c>
      <c r="O1037">
        <v>-46</v>
      </c>
      <c r="P1037">
        <v>5</v>
      </c>
      <c r="Q1037">
        <v>51</v>
      </c>
      <c r="R1037">
        <v>23920</v>
      </c>
      <c r="S1037">
        <v>-3545</v>
      </c>
      <c r="T1037">
        <v>0</v>
      </c>
      <c r="U1037">
        <v>0</v>
      </c>
      <c r="V1037" t="s">
        <v>34</v>
      </c>
      <c r="W1037">
        <v>23920</v>
      </c>
      <c r="X1037">
        <v>-3545</v>
      </c>
      <c r="Y1037">
        <v>0</v>
      </c>
      <c r="Z1037">
        <v>2.6530528000000001E-2</v>
      </c>
      <c r="AA1037">
        <v>27465</v>
      </c>
      <c r="AB1037">
        <v>0.01</v>
      </c>
      <c r="AC1037">
        <v>0</v>
      </c>
      <c r="AD1037">
        <v>0</v>
      </c>
      <c r="AE1037">
        <v>0</v>
      </c>
      <c r="AF1037">
        <v>0</v>
      </c>
      <c r="AG1037">
        <v>27465</v>
      </c>
      <c r="AH1037">
        <f t="shared" si="16"/>
        <v>0</v>
      </c>
    </row>
    <row r="1038" spans="1:34" x14ac:dyDescent="0.25">
      <c r="A1038" s="1">
        <v>45034</v>
      </c>
      <c r="B1038">
        <v>515</v>
      </c>
      <c r="C1038">
        <v>-9.6153850000000006E-3</v>
      </c>
      <c r="D1038">
        <v>688</v>
      </c>
      <c r="E1038">
        <v>-2.9619182000000001E-2</v>
      </c>
      <c r="F1038">
        <v>2.0003797E-2</v>
      </c>
      <c r="G1038">
        <v>2.0003797E-2</v>
      </c>
      <c r="H1038">
        <v>1.2859834000000001E-2</v>
      </c>
      <c r="I1038">
        <v>2.2450945E-2</v>
      </c>
      <c r="J1038">
        <v>1</v>
      </c>
      <c r="K1038">
        <v>1</v>
      </c>
      <c r="L1038">
        <v>0</v>
      </c>
      <c r="M1038">
        <v>5</v>
      </c>
      <c r="N1038">
        <v>4.1151683620000004</v>
      </c>
      <c r="O1038">
        <v>46</v>
      </c>
      <c r="P1038">
        <v>-5</v>
      </c>
      <c r="Q1038">
        <v>51</v>
      </c>
      <c r="R1038">
        <v>-23690</v>
      </c>
      <c r="S1038">
        <v>3440</v>
      </c>
      <c r="T1038">
        <v>230</v>
      </c>
      <c r="U1038">
        <v>-105</v>
      </c>
      <c r="V1038" t="s">
        <v>37</v>
      </c>
      <c r="W1038">
        <v>0</v>
      </c>
      <c r="X1038">
        <v>0</v>
      </c>
      <c r="Y1038">
        <v>0</v>
      </c>
      <c r="Z1038">
        <v>2.2450945E-2</v>
      </c>
      <c r="AA1038">
        <v>27130</v>
      </c>
      <c r="AB1038">
        <v>0.01</v>
      </c>
      <c r="AC1038">
        <v>125</v>
      </c>
      <c r="AD1038">
        <v>4.6074460000000003E-3</v>
      </c>
      <c r="AE1038">
        <v>0</v>
      </c>
      <c r="AF1038">
        <v>0</v>
      </c>
      <c r="AG1038">
        <v>0</v>
      </c>
      <c r="AH1038">
        <f t="shared" si="16"/>
        <v>0</v>
      </c>
    </row>
    <row r="1039" spans="1:34" x14ac:dyDescent="0.25">
      <c r="A1039" s="1">
        <v>45035</v>
      </c>
      <c r="B1039">
        <v>510</v>
      </c>
      <c r="C1039">
        <v>-9.7087379999999997E-3</v>
      </c>
      <c r="D1039">
        <v>675</v>
      </c>
      <c r="E1039">
        <v>-1.8895348999999999E-2</v>
      </c>
      <c r="F1039">
        <v>9.1866110000000008E-3</v>
      </c>
      <c r="G1039">
        <v>9.1866110000000008E-3</v>
      </c>
      <c r="H1039">
        <v>1.3062806E-2</v>
      </c>
      <c r="I1039">
        <v>1.9221321999999999E-2</v>
      </c>
      <c r="J1039">
        <v>1</v>
      </c>
      <c r="K1039">
        <v>1</v>
      </c>
      <c r="L1039">
        <v>0</v>
      </c>
      <c r="M1039">
        <v>5</v>
      </c>
      <c r="N1039">
        <v>2.5758806430000001</v>
      </c>
      <c r="O1039">
        <v>46</v>
      </c>
      <c r="P1039">
        <v>-5</v>
      </c>
      <c r="Q1039">
        <v>51</v>
      </c>
      <c r="R1039">
        <v>-23460</v>
      </c>
      <c r="S1039">
        <v>3375</v>
      </c>
      <c r="T1039">
        <v>460</v>
      </c>
      <c r="U1039">
        <v>-170</v>
      </c>
      <c r="V1039" t="s">
        <v>37</v>
      </c>
      <c r="W1039">
        <v>0</v>
      </c>
      <c r="X1039">
        <v>0</v>
      </c>
      <c r="Y1039">
        <v>0</v>
      </c>
      <c r="Z1039">
        <v>1.9221321999999999E-2</v>
      </c>
      <c r="AA1039">
        <v>26835</v>
      </c>
      <c r="AB1039">
        <v>0.01</v>
      </c>
      <c r="AC1039">
        <v>290</v>
      </c>
      <c r="AD1039">
        <v>1.0806781999999999E-2</v>
      </c>
      <c r="AE1039">
        <v>0</v>
      </c>
      <c r="AF1039">
        <v>0</v>
      </c>
      <c r="AG1039">
        <v>0</v>
      </c>
      <c r="AH1039">
        <f t="shared" si="16"/>
        <v>0</v>
      </c>
    </row>
    <row r="1040" spans="1:34" x14ac:dyDescent="0.25">
      <c r="A1040" s="1">
        <v>45036</v>
      </c>
      <c r="B1040">
        <v>513</v>
      </c>
      <c r="C1040">
        <v>5.8823529999999999E-3</v>
      </c>
      <c r="D1040">
        <v>673</v>
      </c>
      <c r="E1040">
        <v>-2.9629629999999999E-3</v>
      </c>
      <c r="F1040">
        <v>8.8453160000000006E-3</v>
      </c>
      <c r="G1040">
        <v>8.8453160000000006E-3</v>
      </c>
      <c r="H1040">
        <v>1.0154276E-2</v>
      </c>
      <c r="I1040">
        <v>2.0672904999999998E-2</v>
      </c>
      <c r="J1040">
        <v>1</v>
      </c>
      <c r="K1040">
        <v>1</v>
      </c>
      <c r="L1040">
        <v>0</v>
      </c>
      <c r="M1040">
        <v>5</v>
      </c>
      <c r="N1040">
        <v>0.66080427399999997</v>
      </c>
      <c r="O1040">
        <v>46</v>
      </c>
      <c r="P1040">
        <v>-5</v>
      </c>
      <c r="Q1040">
        <v>51</v>
      </c>
      <c r="R1040">
        <v>-23598</v>
      </c>
      <c r="S1040">
        <v>3365</v>
      </c>
      <c r="T1040">
        <v>322</v>
      </c>
      <c r="U1040">
        <v>-180</v>
      </c>
      <c r="V1040" t="s">
        <v>37</v>
      </c>
      <c r="W1040">
        <v>0</v>
      </c>
      <c r="X1040">
        <v>0</v>
      </c>
      <c r="Y1040">
        <v>0</v>
      </c>
      <c r="Z1040">
        <v>2.0672904999999998E-2</v>
      </c>
      <c r="AA1040">
        <v>26963</v>
      </c>
      <c r="AB1040">
        <v>0.01</v>
      </c>
      <c r="AC1040">
        <v>142</v>
      </c>
      <c r="AD1040">
        <v>5.266476E-3</v>
      </c>
      <c r="AE1040">
        <v>0</v>
      </c>
      <c r="AF1040">
        <v>0</v>
      </c>
      <c r="AG1040">
        <v>0</v>
      </c>
      <c r="AH1040">
        <f t="shared" si="16"/>
        <v>0</v>
      </c>
    </row>
    <row r="1041" spans="1:34" x14ac:dyDescent="0.25">
      <c r="A1041" s="1">
        <v>45037</v>
      </c>
      <c r="B1041">
        <v>511</v>
      </c>
      <c r="C1041">
        <v>-3.8986350000000001E-3</v>
      </c>
      <c r="D1041">
        <v>665</v>
      </c>
      <c r="E1041">
        <v>-1.1887073E-2</v>
      </c>
      <c r="F1041">
        <v>7.9884369999999993E-3</v>
      </c>
      <c r="G1041">
        <v>7.9884369999999993E-3</v>
      </c>
      <c r="H1041">
        <v>8.3399860000000006E-3</v>
      </c>
      <c r="I1041">
        <v>1.8938548999999999E-2</v>
      </c>
      <c r="J1041">
        <v>1</v>
      </c>
      <c r="K1041">
        <v>1</v>
      </c>
      <c r="L1041">
        <v>0</v>
      </c>
      <c r="M1041">
        <v>5</v>
      </c>
      <c r="N1041">
        <v>3.967921187</v>
      </c>
      <c r="O1041">
        <v>46</v>
      </c>
      <c r="P1041">
        <v>-5</v>
      </c>
      <c r="Q1041">
        <v>51</v>
      </c>
      <c r="R1041">
        <v>-23506</v>
      </c>
      <c r="S1041">
        <v>3325</v>
      </c>
      <c r="T1041">
        <v>414</v>
      </c>
      <c r="U1041">
        <v>-220</v>
      </c>
      <c r="V1041" t="s">
        <v>37</v>
      </c>
      <c r="W1041">
        <v>0</v>
      </c>
      <c r="X1041">
        <v>0</v>
      </c>
      <c r="Y1041">
        <v>0</v>
      </c>
      <c r="Z1041">
        <v>1.8938548999999999E-2</v>
      </c>
      <c r="AA1041">
        <v>26831</v>
      </c>
      <c r="AB1041">
        <v>0.01</v>
      </c>
      <c r="AC1041">
        <v>194</v>
      </c>
      <c r="AD1041">
        <v>7.2304420000000001E-3</v>
      </c>
      <c r="AE1041">
        <v>0</v>
      </c>
      <c r="AF1041">
        <v>0</v>
      </c>
      <c r="AG1041">
        <v>0</v>
      </c>
      <c r="AH1041">
        <f t="shared" si="16"/>
        <v>0</v>
      </c>
    </row>
    <row r="1042" spans="1:34" x14ac:dyDescent="0.25">
      <c r="A1042" s="1">
        <v>45040</v>
      </c>
      <c r="B1042">
        <v>507</v>
      </c>
      <c r="C1042">
        <v>-7.8277889999999999E-3</v>
      </c>
      <c r="D1042">
        <v>676</v>
      </c>
      <c r="E1042">
        <v>1.6541353000000002E-2</v>
      </c>
      <c r="F1042">
        <v>-2.4369142E-2</v>
      </c>
      <c r="G1042">
        <v>2.4369142E-2</v>
      </c>
      <c r="H1042">
        <v>6.5403240000000001E-3</v>
      </c>
      <c r="I1042">
        <v>1.7460995999999999E-2</v>
      </c>
      <c r="J1042">
        <v>0</v>
      </c>
      <c r="K1042">
        <v>0</v>
      </c>
      <c r="L1042">
        <v>-1</v>
      </c>
      <c r="M1042">
        <v>5</v>
      </c>
      <c r="N1042">
        <v>2.8175438599999998</v>
      </c>
      <c r="O1042">
        <v>46</v>
      </c>
      <c r="P1042">
        <v>-5</v>
      </c>
      <c r="Q1042">
        <v>51</v>
      </c>
      <c r="R1042">
        <v>-23322</v>
      </c>
      <c r="S1042">
        <v>3380</v>
      </c>
      <c r="T1042">
        <v>598</v>
      </c>
      <c r="U1042">
        <v>-165</v>
      </c>
      <c r="V1042" t="s">
        <v>35</v>
      </c>
      <c r="W1042">
        <v>-23322</v>
      </c>
      <c r="X1042">
        <v>3380</v>
      </c>
      <c r="Y1042">
        <v>433</v>
      </c>
      <c r="Z1042">
        <v>1.7460995999999999E-2</v>
      </c>
      <c r="AA1042">
        <v>26702</v>
      </c>
      <c r="AB1042">
        <v>0.01</v>
      </c>
      <c r="AC1042">
        <v>433</v>
      </c>
      <c r="AD1042">
        <v>1.6216014000000001E-2</v>
      </c>
      <c r="AE1042">
        <v>0</v>
      </c>
      <c r="AF1042">
        <v>433</v>
      </c>
      <c r="AG1042">
        <v>0</v>
      </c>
      <c r="AH1042">
        <f t="shared" si="16"/>
        <v>1.6216013781739196E-2</v>
      </c>
    </row>
    <row r="1043" spans="1:34" x14ac:dyDescent="0.25">
      <c r="A1043" s="1">
        <v>45041</v>
      </c>
      <c r="B1043">
        <v>498</v>
      </c>
      <c r="C1043">
        <v>-1.7751479000000001E-2</v>
      </c>
      <c r="D1043">
        <v>650</v>
      </c>
      <c r="E1043">
        <v>-3.8461538000000003E-2</v>
      </c>
      <c r="F1043">
        <v>2.0710058999999999E-2</v>
      </c>
      <c r="G1043">
        <v>2.0710058999999999E-2</v>
      </c>
      <c r="H1043">
        <v>8.6402430000000006E-3</v>
      </c>
      <c r="I1043">
        <v>2.0250252999999999E-2</v>
      </c>
      <c r="J1043">
        <v>1</v>
      </c>
      <c r="K1043">
        <v>1</v>
      </c>
      <c r="L1043">
        <v>1</v>
      </c>
      <c r="M1043">
        <v>5</v>
      </c>
      <c r="N1043">
        <v>2.827978581</v>
      </c>
      <c r="O1043">
        <v>-15</v>
      </c>
      <c r="P1043">
        <v>5</v>
      </c>
      <c r="Q1043">
        <v>20</v>
      </c>
      <c r="R1043">
        <v>7470</v>
      </c>
      <c r="S1043">
        <v>-3250</v>
      </c>
      <c r="T1043">
        <v>0</v>
      </c>
      <c r="U1043">
        <v>0</v>
      </c>
      <c r="V1043" t="s">
        <v>34</v>
      </c>
      <c r="W1043">
        <v>7470</v>
      </c>
      <c r="X1043">
        <v>-3250</v>
      </c>
      <c r="Y1043">
        <v>0</v>
      </c>
      <c r="Z1043">
        <v>2.0250252999999999E-2</v>
      </c>
      <c r="AA1043">
        <v>10720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10720</v>
      </c>
      <c r="AH1043">
        <f t="shared" si="16"/>
        <v>0</v>
      </c>
    </row>
    <row r="1044" spans="1:34" x14ac:dyDescent="0.25">
      <c r="A1044" s="1">
        <v>45042</v>
      </c>
      <c r="B1044">
        <v>491.5</v>
      </c>
      <c r="C1044">
        <v>-1.3052209E-2</v>
      </c>
      <c r="D1044">
        <v>649</v>
      </c>
      <c r="E1044">
        <v>-1.538462E-3</v>
      </c>
      <c r="F1044">
        <v>-1.1513747E-2</v>
      </c>
      <c r="G1044">
        <v>1.1513747E-2</v>
      </c>
      <c r="H1044">
        <v>9.0545460000000001E-3</v>
      </c>
      <c r="I1044">
        <v>2.0073886999999999E-2</v>
      </c>
      <c r="J1044">
        <v>0</v>
      </c>
      <c r="K1044">
        <v>0</v>
      </c>
      <c r="L1044">
        <v>-1</v>
      </c>
      <c r="M1044">
        <v>5</v>
      </c>
      <c r="N1044">
        <v>0.15564092500000001</v>
      </c>
      <c r="O1044">
        <v>15</v>
      </c>
      <c r="P1044">
        <v>-5</v>
      </c>
      <c r="Q1044">
        <v>20</v>
      </c>
      <c r="R1044">
        <v>-7372.5</v>
      </c>
      <c r="S1044">
        <v>3245</v>
      </c>
      <c r="T1044">
        <v>97.5</v>
      </c>
      <c r="U1044">
        <v>-5</v>
      </c>
      <c r="V1044" t="s">
        <v>35</v>
      </c>
      <c r="W1044">
        <v>-7372.5</v>
      </c>
      <c r="X1044">
        <v>3245</v>
      </c>
      <c r="Y1044">
        <v>92.5</v>
      </c>
      <c r="Z1044">
        <v>2.0073886999999999E-2</v>
      </c>
      <c r="AA1044">
        <v>10617.5</v>
      </c>
      <c r="AB1044">
        <v>0</v>
      </c>
      <c r="AC1044">
        <v>92.5</v>
      </c>
      <c r="AD1044">
        <v>8.7120319999999998E-3</v>
      </c>
      <c r="AE1044">
        <v>0</v>
      </c>
      <c r="AF1044">
        <v>92.5</v>
      </c>
      <c r="AG1044">
        <v>0</v>
      </c>
      <c r="AH1044">
        <f t="shared" si="16"/>
        <v>8.7120320226041909E-3</v>
      </c>
    </row>
    <row r="1045" spans="1:34" x14ac:dyDescent="0.25">
      <c r="A1045" s="1">
        <v>45043</v>
      </c>
      <c r="B1045">
        <v>493.5</v>
      </c>
      <c r="C1045">
        <v>4.0691759999999999E-3</v>
      </c>
      <c r="D1045">
        <v>662</v>
      </c>
      <c r="E1045">
        <v>2.0030816999999999E-2</v>
      </c>
      <c r="F1045">
        <v>-1.5961640999999999E-2</v>
      </c>
      <c r="G1045">
        <v>1.5961640999999999E-2</v>
      </c>
      <c r="H1045">
        <v>8.4062219999999997E-3</v>
      </c>
      <c r="I1045">
        <v>2.3721826000000001E-2</v>
      </c>
      <c r="J1045">
        <v>0</v>
      </c>
      <c r="K1045">
        <v>0</v>
      </c>
      <c r="L1045">
        <v>0</v>
      </c>
      <c r="M1045">
        <v>5</v>
      </c>
      <c r="N1045">
        <v>6.6033301949999998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W1045">
        <v>0</v>
      </c>
      <c r="X1045">
        <v>0</v>
      </c>
      <c r="Y1045">
        <v>0</v>
      </c>
      <c r="Z1045">
        <v>2.3721826000000001E-2</v>
      </c>
      <c r="AA1045">
        <v>0</v>
      </c>
      <c r="AB1045" t="s">
        <v>33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f t="shared" si="16"/>
        <v>0</v>
      </c>
    </row>
    <row r="1046" spans="1:34" x14ac:dyDescent="0.25">
      <c r="A1046" s="1">
        <v>45044</v>
      </c>
      <c r="B1046">
        <v>502</v>
      </c>
      <c r="C1046">
        <v>1.7223911000000001E-2</v>
      </c>
      <c r="D1046">
        <v>665</v>
      </c>
      <c r="E1046">
        <v>4.5317220000000002E-3</v>
      </c>
      <c r="F1046">
        <v>1.2692189E-2</v>
      </c>
      <c r="G1046">
        <v>1.2692189E-2</v>
      </c>
      <c r="H1046">
        <v>1.4140781E-2</v>
      </c>
      <c r="I1046">
        <v>2.3328092000000002E-2</v>
      </c>
      <c r="J1046">
        <v>1</v>
      </c>
      <c r="K1046">
        <v>0</v>
      </c>
      <c r="L1046">
        <v>0</v>
      </c>
      <c r="M1046">
        <v>5</v>
      </c>
      <c r="N1046">
        <v>0.34853742999999998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W1046">
        <v>0</v>
      </c>
      <c r="X1046">
        <v>0</v>
      </c>
      <c r="Y1046">
        <v>0</v>
      </c>
      <c r="Z1046">
        <v>2.3328092000000002E-2</v>
      </c>
      <c r="AA1046">
        <v>0</v>
      </c>
      <c r="AB1046" t="s">
        <v>33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f t="shared" si="16"/>
        <v>0</v>
      </c>
    </row>
    <row r="1047" spans="1:34" x14ac:dyDescent="0.25">
      <c r="A1047" s="1">
        <v>45048</v>
      </c>
      <c r="B1047">
        <v>501</v>
      </c>
      <c r="C1047">
        <v>-1.9920319999999999E-3</v>
      </c>
      <c r="D1047">
        <v>671</v>
      </c>
      <c r="E1047">
        <v>9.0225559999999993E-3</v>
      </c>
      <c r="F1047">
        <v>-1.1014588000000001E-2</v>
      </c>
      <c r="G1047">
        <v>1.1014588000000001E-2</v>
      </c>
      <c r="H1047">
        <v>1.3930206000000001E-2</v>
      </c>
      <c r="I1047">
        <v>2.2229503000000001E-2</v>
      </c>
      <c r="J1047">
        <v>0</v>
      </c>
      <c r="K1047">
        <v>0</v>
      </c>
      <c r="L1047">
        <v>0</v>
      </c>
      <c r="M1047">
        <v>5</v>
      </c>
      <c r="N1047">
        <v>6.0662194410000003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W1047">
        <v>0</v>
      </c>
      <c r="X1047">
        <v>0</v>
      </c>
      <c r="Y1047">
        <v>0</v>
      </c>
      <c r="Z1047">
        <v>2.2229503000000001E-2</v>
      </c>
      <c r="AA1047">
        <v>0</v>
      </c>
      <c r="AB1047" t="s">
        <v>33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f t="shared" si="16"/>
        <v>0</v>
      </c>
    </row>
    <row r="1048" spans="1:34" x14ac:dyDescent="0.25">
      <c r="A1048" s="1">
        <v>45049</v>
      </c>
      <c r="B1048">
        <v>496</v>
      </c>
      <c r="C1048">
        <v>-9.9800400000000008E-3</v>
      </c>
      <c r="D1048">
        <v>680</v>
      </c>
      <c r="E1048">
        <v>1.3412817E-2</v>
      </c>
      <c r="F1048">
        <v>-2.3392857E-2</v>
      </c>
      <c r="G1048">
        <v>2.3392857E-2</v>
      </c>
      <c r="H1048">
        <v>1.2086837E-2</v>
      </c>
      <c r="I1048">
        <v>8.2482549999999995E-3</v>
      </c>
      <c r="J1048">
        <v>0</v>
      </c>
      <c r="K1048">
        <v>1</v>
      </c>
      <c r="L1048">
        <v>1</v>
      </c>
      <c r="M1048">
        <v>5</v>
      </c>
      <c r="N1048">
        <v>1.8425316089999999</v>
      </c>
      <c r="O1048">
        <v>10</v>
      </c>
      <c r="P1048">
        <v>-5</v>
      </c>
      <c r="Q1048">
        <v>15</v>
      </c>
      <c r="R1048">
        <v>-4960</v>
      </c>
      <c r="S1048">
        <v>3400</v>
      </c>
      <c r="T1048">
        <v>0</v>
      </c>
      <c r="U1048">
        <v>0</v>
      </c>
      <c r="V1048" t="s">
        <v>34</v>
      </c>
      <c r="W1048">
        <v>-4960</v>
      </c>
      <c r="X1048">
        <v>3400</v>
      </c>
      <c r="Y1048">
        <v>0</v>
      </c>
      <c r="Z1048">
        <v>1.2086837E-2</v>
      </c>
      <c r="AA1048">
        <v>8360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8360</v>
      </c>
      <c r="AH1048">
        <f t="shared" si="16"/>
        <v>0</v>
      </c>
    </row>
    <row r="1049" spans="1:34" x14ac:dyDescent="0.25">
      <c r="A1049" s="1">
        <v>45050</v>
      </c>
      <c r="B1049">
        <v>498</v>
      </c>
      <c r="C1049">
        <v>4.0322580000000004E-3</v>
      </c>
      <c r="D1049">
        <v>668</v>
      </c>
      <c r="E1049">
        <v>-1.7647059E-2</v>
      </c>
      <c r="F1049">
        <v>2.1679317E-2</v>
      </c>
      <c r="G1049">
        <v>2.1679317E-2</v>
      </c>
      <c r="H1049">
        <v>9.9672939999999998E-3</v>
      </c>
      <c r="I1049">
        <v>1.4337054E-2</v>
      </c>
      <c r="J1049">
        <v>1</v>
      </c>
      <c r="K1049">
        <v>0</v>
      </c>
      <c r="L1049">
        <v>-1</v>
      </c>
      <c r="M1049">
        <v>5</v>
      </c>
      <c r="N1049">
        <v>5.8704464920000001</v>
      </c>
      <c r="O1049">
        <v>-10</v>
      </c>
      <c r="P1049">
        <v>5</v>
      </c>
      <c r="Q1049">
        <v>15</v>
      </c>
      <c r="R1049">
        <v>4980</v>
      </c>
      <c r="S1049">
        <v>-3340</v>
      </c>
      <c r="T1049">
        <v>20</v>
      </c>
      <c r="U1049">
        <v>60</v>
      </c>
      <c r="V1049" t="s">
        <v>35</v>
      </c>
      <c r="W1049">
        <v>4980</v>
      </c>
      <c r="X1049">
        <v>-3340</v>
      </c>
      <c r="Y1049">
        <v>80</v>
      </c>
      <c r="Z1049">
        <v>1.4337054E-2</v>
      </c>
      <c r="AA1049">
        <v>8320</v>
      </c>
      <c r="AB1049">
        <v>0</v>
      </c>
      <c r="AC1049">
        <v>80</v>
      </c>
      <c r="AD1049">
        <v>9.6153850000000006E-3</v>
      </c>
      <c r="AE1049">
        <v>0</v>
      </c>
      <c r="AF1049">
        <v>80</v>
      </c>
      <c r="AG1049">
        <v>0</v>
      </c>
      <c r="AH1049">
        <f t="shared" si="16"/>
        <v>9.6153846153846159E-3</v>
      </c>
    </row>
    <row r="1050" spans="1:34" x14ac:dyDescent="0.25">
      <c r="A1050" s="1">
        <v>45051</v>
      </c>
      <c r="B1050">
        <v>500</v>
      </c>
      <c r="C1050">
        <v>4.0160639999999997E-3</v>
      </c>
      <c r="D1050">
        <v>675</v>
      </c>
      <c r="E1050">
        <v>1.0479041999999999E-2</v>
      </c>
      <c r="F1050">
        <v>-6.4629780000000003E-3</v>
      </c>
      <c r="G1050">
        <v>6.4629780000000003E-3</v>
      </c>
      <c r="H1050">
        <v>9.9654589999999994E-3</v>
      </c>
      <c r="I1050">
        <v>1.2496749E-2</v>
      </c>
      <c r="J1050">
        <v>0</v>
      </c>
      <c r="K1050">
        <v>0</v>
      </c>
      <c r="L1050">
        <v>0</v>
      </c>
      <c r="M1050">
        <v>5</v>
      </c>
      <c r="N1050">
        <v>3.5225299400000001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W1050">
        <v>0</v>
      </c>
      <c r="X1050">
        <v>0</v>
      </c>
      <c r="Y1050">
        <v>0</v>
      </c>
      <c r="Z1050">
        <v>1.2496749E-2</v>
      </c>
      <c r="AA1050">
        <v>0</v>
      </c>
      <c r="AB1050" t="s">
        <v>33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f t="shared" si="16"/>
        <v>0</v>
      </c>
    </row>
    <row r="1051" spans="1:34" x14ac:dyDescent="0.25">
      <c r="A1051" s="1">
        <v>45054</v>
      </c>
      <c r="B1051">
        <v>504</v>
      </c>
      <c r="C1051">
        <v>8.0000000000000002E-3</v>
      </c>
      <c r="D1051">
        <v>675</v>
      </c>
      <c r="E1051">
        <v>0</v>
      </c>
      <c r="F1051">
        <v>8.0000000000000002E-3</v>
      </c>
      <c r="G1051">
        <v>8.0000000000000002E-3</v>
      </c>
      <c r="H1051">
        <v>7.0113140000000003E-3</v>
      </c>
      <c r="I1051">
        <v>1.2608734999999999E-2</v>
      </c>
      <c r="J1051">
        <v>1</v>
      </c>
      <c r="K1051">
        <v>0</v>
      </c>
      <c r="L1051">
        <v>0</v>
      </c>
      <c r="M1051">
        <v>5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W1051">
        <v>0</v>
      </c>
      <c r="X1051">
        <v>0</v>
      </c>
      <c r="Y1051">
        <v>0</v>
      </c>
      <c r="Z1051">
        <v>1.2608734999999999E-2</v>
      </c>
      <c r="AA1051">
        <v>0</v>
      </c>
      <c r="AB1051" t="s">
        <v>33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f t="shared" si="16"/>
        <v>0</v>
      </c>
    </row>
    <row r="1052" spans="1:34" x14ac:dyDescent="0.25">
      <c r="A1052" s="1">
        <v>45055</v>
      </c>
      <c r="B1052">
        <v>510</v>
      </c>
      <c r="C1052">
        <v>1.1904761999999999E-2</v>
      </c>
      <c r="D1052">
        <v>677</v>
      </c>
      <c r="E1052">
        <v>2.9629629999999999E-3</v>
      </c>
      <c r="F1052">
        <v>8.9417990000000003E-3</v>
      </c>
      <c r="G1052">
        <v>8.9417990000000003E-3</v>
      </c>
      <c r="H1052">
        <v>8.2629650000000006E-3</v>
      </c>
      <c r="I1052">
        <v>1.2175336E-2</v>
      </c>
      <c r="J1052">
        <v>1</v>
      </c>
      <c r="K1052">
        <v>0</v>
      </c>
      <c r="L1052">
        <v>0</v>
      </c>
      <c r="M1052">
        <v>5</v>
      </c>
      <c r="N1052">
        <v>0.33038780000000001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W1052">
        <v>0</v>
      </c>
      <c r="X1052">
        <v>0</v>
      </c>
      <c r="Y1052">
        <v>0</v>
      </c>
      <c r="Z1052">
        <v>1.2175336E-2</v>
      </c>
      <c r="AA1052">
        <v>0</v>
      </c>
      <c r="AB1052" t="s">
        <v>33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f t="shared" si="16"/>
        <v>0</v>
      </c>
    </row>
    <row r="1053" spans="1:34" x14ac:dyDescent="0.25">
      <c r="A1053" s="1">
        <v>45056</v>
      </c>
      <c r="B1053">
        <v>503</v>
      </c>
      <c r="C1053">
        <v>-1.372549E-2</v>
      </c>
      <c r="D1053">
        <v>668</v>
      </c>
      <c r="E1053">
        <v>-1.3293944E-2</v>
      </c>
      <c r="F1053">
        <v>-4.3154599999999999E-4</v>
      </c>
      <c r="G1053">
        <v>4.3154599999999999E-4</v>
      </c>
      <c r="H1053">
        <v>9.8236380000000009E-3</v>
      </c>
      <c r="I1053">
        <v>1.1677908000000001E-2</v>
      </c>
      <c r="J1053">
        <v>0</v>
      </c>
      <c r="K1053">
        <v>0</v>
      </c>
      <c r="L1053">
        <v>0</v>
      </c>
      <c r="M1053">
        <v>5</v>
      </c>
      <c r="N1053">
        <v>1.2862768520000001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W1053">
        <v>0</v>
      </c>
      <c r="X1053">
        <v>0</v>
      </c>
      <c r="Y1053">
        <v>0</v>
      </c>
      <c r="Z1053">
        <v>1.1677908000000001E-2</v>
      </c>
      <c r="AA1053">
        <v>0</v>
      </c>
      <c r="AB1053" t="s">
        <v>33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f t="shared" si="16"/>
        <v>0</v>
      </c>
    </row>
    <row r="1054" spans="1:34" x14ac:dyDescent="0.25">
      <c r="A1054" s="1">
        <v>45057</v>
      </c>
      <c r="B1054">
        <v>499</v>
      </c>
      <c r="C1054">
        <v>-7.9522859999999994E-3</v>
      </c>
      <c r="D1054">
        <v>668</v>
      </c>
      <c r="E1054">
        <v>0</v>
      </c>
      <c r="F1054">
        <v>-7.9522859999999994E-3</v>
      </c>
      <c r="G1054">
        <v>7.9522859999999994E-3</v>
      </c>
      <c r="H1054">
        <v>1.0868231000000001E-2</v>
      </c>
      <c r="I1054">
        <v>8.5923519999999993E-3</v>
      </c>
      <c r="J1054">
        <v>0</v>
      </c>
      <c r="K1054">
        <v>0</v>
      </c>
      <c r="L1054">
        <v>0</v>
      </c>
      <c r="M1054">
        <v>5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W1054">
        <v>0</v>
      </c>
      <c r="X1054">
        <v>0</v>
      </c>
      <c r="Y1054">
        <v>0</v>
      </c>
      <c r="Z1054">
        <v>1.0868231000000001E-2</v>
      </c>
      <c r="AA1054">
        <v>0</v>
      </c>
      <c r="AB1054" t="s">
        <v>33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f t="shared" si="16"/>
        <v>0</v>
      </c>
    </row>
    <row r="1055" spans="1:34" x14ac:dyDescent="0.25">
      <c r="A1055" s="1">
        <v>45058</v>
      </c>
      <c r="B1055">
        <v>496</v>
      </c>
      <c r="C1055">
        <v>-6.0120240000000004E-3</v>
      </c>
      <c r="D1055">
        <v>673</v>
      </c>
      <c r="E1055">
        <v>7.4850300000000002E-3</v>
      </c>
      <c r="F1055">
        <v>-1.3497054E-2</v>
      </c>
      <c r="G1055">
        <v>1.3497054E-2</v>
      </c>
      <c r="H1055">
        <v>1.0970123E-2</v>
      </c>
      <c r="I1055">
        <v>7.7445769999999999E-3</v>
      </c>
      <c r="J1055">
        <v>0</v>
      </c>
      <c r="K1055">
        <v>1</v>
      </c>
      <c r="L1055">
        <v>1</v>
      </c>
      <c r="M1055">
        <v>5</v>
      </c>
      <c r="N1055">
        <v>1.6892978160000001</v>
      </c>
      <c r="O1055">
        <v>9</v>
      </c>
      <c r="P1055">
        <v>-5</v>
      </c>
      <c r="Q1055">
        <v>14</v>
      </c>
      <c r="R1055">
        <v>-4464</v>
      </c>
      <c r="S1055">
        <v>3365</v>
      </c>
      <c r="T1055">
        <v>0</v>
      </c>
      <c r="U1055">
        <v>0</v>
      </c>
      <c r="V1055" t="s">
        <v>34</v>
      </c>
      <c r="W1055">
        <v>-4464</v>
      </c>
      <c r="X1055">
        <v>3365</v>
      </c>
      <c r="Y1055">
        <v>0</v>
      </c>
      <c r="Z1055">
        <v>1.0970123E-2</v>
      </c>
      <c r="AA1055">
        <v>7829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7829</v>
      </c>
      <c r="AH1055">
        <f t="shared" si="16"/>
        <v>0</v>
      </c>
    </row>
    <row r="1056" spans="1:34" x14ac:dyDescent="0.25">
      <c r="A1056" s="1">
        <v>45061</v>
      </c>
      <c r="B1056">
        <v>495.5</v>
      </c>
      <c r="C1056">
        <v>-1.008065E-3</v>
      </c>
      <c r="D1056">
        <v>680</v>
      </c>
      <c r="E1056">
        <v>1.0401189E-2</v>
      </c>
      <c r="F1056">
        <v>-1.1409252999999999E-2</v>
      </c>
      <c r="G1056">
        <v>1.1409252999999999E-2</v>
      </c>
      <c r="H1056">
        <v>9.6709650000000001E-3</v>
      </c>
      <c r="I1056">
        <v>9.1964960000000002E-3</v>
      </c>
      <c r="J1056">
        <v>0</v>
      </c>
      <c r="K1056">
        <v>1</v>
      </c>
      <c r="L1056">
        <v>0</v>
      </c>
      <c r="M1056">
        <v>5</v>
      </c>
      <c r="N1056">
        <v>14.159890730000001</v>
      </c>
      <c r="O1056">
        <v>-9</v>
      </c>
      <c r="P1056">
        <v>5</v>
      </c>
      <c r="Q1056">
        <v>14</v>
      </c>
      <c r="R1056">
        <v>4459.5</v>
      </c>
      <c r="S1056">
        <v>-3400</v>
      </c>
      <c r="T1056">
        <v>-4.5</v>
      </c>
      <c r="U1056">
        <v>-35</v>
      </c>
      <c r="V1056" t="s">
        <v>37</v>
      </c>
      <c r="W1056">
        <v>0</v>
      </c>
      <c r="X1056">
        <v>0</v>
      </c>
      <c r="Y1056">
        <v>0</v>
      </c>
      <c r="Z1056">
        <v>9.6709650000000001E-3</v>
      </c>
      <c r="AA1056">
        <v>7859.5</v>
      </c>
      <c r="AB1056">
        <v>0</v>
      </c>
      <c r="AC1056">
        <v>-39.5</v>
      </c>
      <c r="AD1056">
        <v>-5.0257649999999997E-3</v>
      </c>
      <c r="AE1056">
        <v>0</v>
      </c>
      <c r="AF1056">
        <v>0</v>
      </c>
      <c r="AG1056">
        <v>0</v>
      </c>
      <c r="AH1056">
        <f t="shared" si="16"/>
        <v>0</v>
      </c>
    </row>
    <row r="1057" spans="1:34" x14ac:dyDescent="0.25">
      <c r="A1057" s="1">
        <v>45062</v>
      </c>
      <c r="B1057">
        <v>505</v>
      </c>
      <c r="C1057">
        <v>1.9172552999999998E-2</v>
      </c>
      <c r="D1057">
        <v>680</v>
      </c>
      <c r="E1057">
        <v>0</v>
      </c>
      <c r="F1057">
        <v>1.9172552999999998E-2</v>
      </c>
      <c r="G1057">
        <v>1.9172552999999998E-2</v>
      </c>
      <c r="H1057">
        <v>1.2631598000000001E-2</v>
      </c>
      <c r="I1057">
        <v>9.1749870000000008E-3</v>
      </c>
      <c r="J1057">
        <v>1</v>
      </c>
      <c r="K1057">
        <v>0</v>
      </c>
      <c r="L1057">
        <v>-1</v>
      </c>
      <c r="M1057">
        <v>5</v>
      </c>
      <c r="N1057">
        <v>0</v>
      </c>
      <c r="O1057">
        <v>-9</v>
      </c>
      <c r="P1057">
        <v>5</v>
      </c>
      <c r="Q1057">
        <v>14</v>
      </c>
      <c r="R1057">
        <v>4545</v>
      </c>
      <c r="S1057">
        <v>-3400</v>
      </c>
      <c r="T1057">
        <v>81</v>
      </c>
      <c r="U1057">
        <v>-35</v>
      </c>
      <c r="V1057" t="s">
        <v>35</v>
      </c>
      <c r="W1057">
        <v>4545</v>
      </c>
      <c r="X1057">
        <v>-3400</v>
      </c>
      <c r="Y1057">
        <v>46</v>
      </c>
      <c r="Z1057">
        <v>1.2631598000000001E-2</v>
      </c>
      <c r="AA1057">
        <v>7945</v>
      </c>
      <c r="AB1057">
        <v>0</v>
      </c>
      <c r="AC1057">
        <v>46</v>
      </c>
      <c r="AD1057">
        <v>5.7898050000000003E-3</v>
      </c>
      <c r="AE1057">
        <v>0</v>
      </c>
      <c r="AF1057">
        <v>46</v>
      </c>
      <c r="AG1057">
        <v>0</v>
      </c>
      <c r="AH1057">
        <f t="shared" si="16"/>
        <v>5.7898049087476396E-3</v>
      </c>
    </row>
    <row r="1058" spans="1:34" x14ac:dyDescent="0.25">
      <c r="A1058" s="1">
        <v>45063</v>
      </c>
      <c r="B1058">
        <v>519</v>
      </c>
      <c r="C1058">
        <v>2.7722772E-2</v>
      </c>
      <c r="D1058">
        <v>685</v>
      </c>
      <c r="E1058">
        <v>7.352941E-3</v>
      </c>
      <c r="F1058">
        <v>2.0369831000000001E-2</v>
      </c>
      <c r="G1058">
        <v>2.0369831000000001E-2</v>
      </c>
      <c r="H1058">
        <v>1.6068006999999999E-2</v>
      </c>
      <c r="I1058">
        <v>4.7663690000000003E-3</v>
      </c>
      <c r="J1058">
        <v>1</v>
      </c>
      <c r="K1058">
        <v>1</v>
      </c>
      <c r="L1058">
        <v>1</v>
      </c>
      <c r="M1058">
        <v>5</v>
      </c>
      <c r="N1058">
        <v>0.35006415899999999</v>
      </c>
      <c r="O1058">
        <v>-2</v>
      </c>
      <c r="P1058">
        <v>5</v>
      </c>
      <c r="Q1058">
        <v>7</v>
      </c>
      <c r="R1058">
        <v>1038</v>
      </c>
      <c r="S1058">
        <v>-3425</v>
      </c>
      <c r="T1058">
        <v>0</v>
      </c>
      <c r="U1058">
        <v>0</v>
      </c>
      <c r="V1058" t="s">
        <v>34</v>
      </c>
      <c r="W1058">
        <v>1038</v>
      </c>
      <c r="X1058">
        <v>-3425</v>
      </c>
      <c r="Y1058">
        <v>0</v>
      </c>
      <c r="Z1058">
        <v>1.6068006999999999E-2</v>
      </c>
      <c r="AA1058">
        <v>4463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4463</v>
      </c>
      <c r="AH1058">
        <f t="shared" si="16"/>
        <v>0</v>
      </c>
    </row>
    <row r="1059" spans="1:34" x14ac:dyDescent="0.25">
      <c r="A1059" s="1">
        <v>45064</v>
      </c>
      <c r="B1059">
        <v>530</v>
      </c>
      <c r="C1059">
        <v>2.1194604999999998E-2</v>
      </c>
      <c r="D1059">
        <v>689</v>
      </c>
      <c r="E1059">
        <v>5.8394160000000001E-3</v>
      </c>
      <c r="F1059">
        <v>1.5355189E-2</v>
      </c>
      <c r="G1059">
        <v>1.5355189E-2</v>
      </c>
      <c r="H1059">
        <v>1.4803764000000001E-2</v>
      </c>
      <c r="I1059">
        <v>3.8470560000000002E-3</v>
      </c>
      <c r="J1059">
        <v>1</v>
      </c>
      <c r="K1059">
        <v>1</v>
      </c>
      <c r="L1059">
        <v>0</v>
      </c>
      <c r="M1059">
        <v>5</v>
      </c>
      <c r="N1059">
        <v>0.358168547</v>
      </c>
      <c r="O1059">
        <v>2</v>
      </c>
      <c r="P1059">
        <v>-5</v>
      </c>
      <c r="Q1059">
        <v>7</v>
      </c>
      <c r="R1059">
        <v>-1060</v>
      </c>
      <c r="S1059">
        <v>3445</v>
      </c>
      <c r="T1059">
        <v>-22</v>
      </c>
      <c r="U1059">
        <v>20</v>
      </c>
      <c r="V1059" t="s">
        <v>37</v>
      </c>
      <c r="W1059">
        <v>0</v>
      </c>
      <c r="X1059">
        <v>0</v>
      </c>
      <c r="Y1059">
        <v>0</v>
      </c>
      <c r="Z1059">
        <v>1.4803764000000001E-2</v>
      </c>
      <c r="AA1059">
        <v>4505</v>
      </c>
      <c r="AB1059">
        <v>0</v>
      </c>
      <c r="AC1059">
        <v>-2</v>
      </c>
      <c r="AD1059">
        <v>-4.4395099999999999E-4</v>
      </c>
      <c r="AE1059">
        <v>0</v>
      </c>
      <c r="AF1059">
        <v>0</v>
      </c>
      <c r="AG1059">
        <v>0</v>
      </c>
      <c r="AH1059">
        <f t="shared" si="16"/>
        <v>0</v>
      </c>
    </row>
    <row r="1060" spans="1:34" x14ac:dyDescent="0.25">
      <c r="A1060" s="1">
        <v>45065</v>
      </c>
      <c r="B1060">
        <v>532</v>
      </c>
      <c r="C1060">
        <v>3.7735849999999999E-3</v>
      </c>
      <c r="D1060">
        <v>698</v>
      </c>
      <c r="E1060">
        <v>1.3062409000000001E-2</v>
      </c>
      <c r="F1060">
        <v>-9.2888239999999993E-3</v>
      </c>
      <c r="G1060">
        <v>9.2888239999999993E-3</v>
      </c>
      <c r="H1060">
        <v>1.221175E-2</v>
      </c>
      <c r="I1060">
        <v>4.955905E-3</v>
      </c>
      <c r="J1060">
        <v>0</v>
      </c>
      <c r="K1060">
        <v>0</v>
      </c>
      <c r="L1060">
        <v>-1</v>
      </c>
      <c r="M1060">
        <v>5</v>
      </c>
      <c r="N1060">
        <v>4.5416425680000003</v>
      </c>
      <c r="O1060">
        <v>2</v>
      </c>
      <c r="P1060">
        <v>-5</v>
      </c>
      <c r="Q1060">
        <v>7</v>
      </c>
      <c r="R1060">
        <v>-1064</v>
      </c>
      <c r="S1060">
        <v>3490</v>
      </c>
      <c r="T1060">
        <v>-26</v>
      </c>
      <c r="U1060">
        <v>65</v>
      </c>
      <c r="V1060" t="s">
        <v>35</v>
      </c>
      <c r="W1060">
        <v>-1064</v>
      </c>
      <c r="X1060">
        <v>3490</v>
      </c>
      <c r="Y1060">
        <v>39</v>
      </c>
      <c r="Z1060">
        <v>1.221175E-2</v>
      </c>
      <c r="AA1060">
        <v>4554</v>
      </c>
      <c r="AB1060">
        <v>0</v>
      </c>
      <c r="AC1060">
        <v>39</v>
      </c>
      <c r="AD1060">
        <v>8.5638999999999993E-3</v>
      </c>
      <c r="AE1060">
        <v>0</v>
      </c>
      <c r="AF1060">
        <v>39</v>
      </c>
      <c r="AG1060">
        <v>0</v>
      </c>
      <c r="AH1060">
        <f t="shared" si="16"/>
        <v>8.563899868247694E-3</v>
      </c>
    </row>
    <row r="1061" spans="1:34" x14ac:dyDescent="0.25">
      <c r="A1061" s="1">
        <v>45068</v>
      </c>
      <c r="B1061">
        <v>531</v>
      </c>
      <c r="C1061">
        <v>-1.8796990000000001E-3</v>
      </c>
      <c r="D1061">
        <v>705</v>
      </c>
      <c r="E1061">
        <v>1.0028653E-2</v>
      </c>
      <c r="F1061">
        <v>-1.1908353E-2</v>
      </c>
      <c r="G1061">
        <v>1.1908353E-2</v>
      </c>
      <c r="H1061">
        <v>1.2485757E-2</v>
      </c>
      <c r="I1061">
        <v>4.900705E-3</v>
      </c>
      <c r="J1061">
        <v>0</v>
      </c>
      <c r="K1061">
        <v>0</v>
      </c>
      <c r="L1061">
        <v>0</v>
      </c>
      <c r="M1061">
        <v>5</v>
      </c>
      <c r="N1061">
        <v>7.0835154520000003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W1061">
        <v>0</v>
      </c>
      <c r="X1061">
        <v>0</v>
      </c>
      <c r="Y1061">
        <v>0</v>
      </c>
      <c r="Z1061">
        <v>1.2485757E-2</v>
      </c>
      <c r="AA1061">
        <v>0</v>
      </c>
      <c r="AB1061" t="s">
        <v>33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f t="shared" si="16"/>
        <v>0</v>
      </c>
    </row>
    <row r="1062" spans="1:34" x14ac:dyDescent="0.25">
      <c r="A1062" s="1">
        <v>45069</v>
      </c>
      <c r="B1062">
        <v>530</v>
      </c>
      <c r="C1062">
        <v>-1.8832390000000001E-3</v>
      </c>
      <c r="D1062">
        <v>716</v>
      </c>
      <c r="E1062">
        <v>1.5602837E-2</v>
      </c>
      <c r="F1062">
        <v>-1.7486076E-2</v>
      </c>
      <c r="G1062">
        <v>1.7486076E-2</v>
      </c>
      <c r="H1062">
        <v>1.3786705E-2</v>
      </c>
      <c r="I1062">
        <v>4.011756E-3</v>
      </c>
      <c r="J1062">
        <v>0</v>
      </c>
      <c r="K1062">
        <v>1</v>
      </c>
      <c r="L1062">
        <v>1</v>
      </c>
      <c r="M1062">
        <v>5</v>
      </c>
      <c r="N1062">
        <v>11.19270976</v>
      </c>
      <c r="O1062">
        <v>56</v>
      </c>
      <c r="P1062">
        <v>-5</v>
      </c>
      <c r="Q1062">
        <v>61</v>
      </c>
      <c r="R1062">
        <v>-29680</v>
      </c>
      <c r="S1062">
        <v>3580</v>
      </c>
      <c r="T1062">
        <v>0</v>
      </c>
      <c r="U1062">
        <v>0</v>
      </c>
      <c r="V1062" t="s">
        <v>34</v>
      </c>
      <c r="W1062">
        <v>-29680</v>
      </c>
      <c r="X1062">
        <v>3580</v>
      </c>
      <c r="Y1062">
        <v>0</v>
      </c>
      <c r="Z1062">
        <v>1.3786705E-2</v>
      </c>
      <c r="AA1062">
        <v>33260</v>
      </c>
      <c r="AB1062">
        <v>0.01</v>
      </c>
      <c r="AC1062">
        <v>0</v>
      </c>
      <c r="AD1062">
        <v>0</v>
      </c>
      <c r="AE1062">
        <v>0</v>
      </c>
      <c r="AF1062">
        <v>0</v>
      </c>
      <c r="AG1062">
        <v>33260</v>
      </c>
      <c r="AH1062">
        <f t="shared" si="16"/>
        <v>0</v>
      </c>
    </row>
    <row r="1063" spans="1:34" x14ac:dyDescent="0.25">
      <c r="A1063" s="1">
        <v>45070</v>
      </c>
      <c r="B1063">
        <v>525</v>
      </c>
      <c r="C1063">
        <v>-9.4339620000000006E-3</v>
      </c>
      <c r="D1063">
        <v>711</v>
      </c>
      <c r="E1063">
        <v>-6.9832399999999999E-3</v>
      </c>
      <c r="F1063">
        <v>-2.4507219999999998E-3</v>
      </c>
      <c r="G1063">
        <v>2.4507219999999998E-3</v>
      </c>
      <c r="H1063">
        <v>1.1530591E-2</v>
      </c>
      <c r="I1063">
        <v>8.8813250000000007E-3</v>
      </c>
      <c r="J1063">
        <v>0</v>
      </c>
      <c r="K1063">
        <v>1</v>
      </c>
      <c r="L1063">
        <v>0</v>
      </c>
      <c r="M1063">
        <v>5</v>
      </c>
      <c r="N1063">
        <v>1.0024740620000001</v>
      </c>
      <c r="O1063">
        <v>-56</v>
      </c>
      <c r="P1063">
        <v>5</v>
      </c>
      <c r="Q1063">
        <v>61</v>
      </c>
      <c r="R1063">
        <v>29400</v>
      </c>
      <c r="S1063">
        <v>-3555</v>
      </c>
      <c r="T1063">
        <v>-280</v>
      </c>
      <c r="U1063">
        <v>25</v>
      </c>
      <c r="V1063" t="s">
        <v>37</v>
      </c>
      <c r="W1063">
        <v>0</v>
      </c>
      <c r="X1063">
        <v>0</v>
      </c>
      <c r="Y1063">
        <v>0</v>
      </c>
      <c r="Z1063">
        <v>1.1530591E-2</v>
      </c>
      <c r="AA1063">
        <v>32955</v>
      </c>
      <c r="AB1063">
        <v>0.01</v>
      </c>
      <c r="AC1063">
        <v>-255</v>
      </c>
      <c r="AD1063">
        <v>-7.7378239999999999E-3</v>
      </c>
      <c r="AE1063">
        <v>0</v>
      </c>
      <c r="AF1063">
        <v>0</v>
      </c>
      <c r="AG1063">
        <v>0</v>
      </c>
      <c r="AH1063">
        <f t="shared" si="16"/>
        <v>0</v>
      </c>
    </row>
    <row r="1064" spans="1:34" x14ac:dyDescent="0.25">
      <c r="A1064" s="1">
        <v>45071</v>
      </c>
      <c r="B1064">
        <v>543</v>
      </c>
      <c r="C1064">
        <v>3.4285714000000002E-2</v>
      </c>
      <c r="D1064">
        <v>708</v>
      </c>
      <c r="E1064">
        <v>-4.2194090000000004E-3</v>
      </c>
      <c r="F1064">
        <v>3.8505124000000002E-2</v>
      </c>
      <c r="G1064">
        <v>3.8505124000000002E-2</v>
      </c>
      <c r="H1064">
        <v>1.7045541000000001E-2</v>
      </c>
      <c r="I1064">
        <v>1.0368995000000001E-2</v>
      </c>
      <c r="J1064">
        <v>1</v>
      </c>
      <c r="K1064">
        <v>0</v>
      </c>
      <c r="L1064">
        <v>-1</v>
      </c>
      <c r="M1064">
        <v>5</v>
      </c>
      <c r="N1064">
        <v>0.160461882</v>
      </c>
      <c r="O1064">
        <v>-56</v>
      </c>
      <c r="P1064">
        <v>5</v>
      </c>
      <c r="Q1064">
        <v>61</v>
      </c>
      <c r="R1064">
        <v>30408</v>
      </c>
      <c r="S1064">
        <v>-3540</v>
      </c>
      <c r="T1064">
        <v>728</v>
      </c>
      <c r="U1064">
        <v>40</v>
      </c>
      <c r="V1064" t="s">
        <v>35</v>
      </c>
      <c r="W1064">
        <v>30408</v>
      </c>
      <c r="X1064">
        <v>-3540</v>
      </c>
      <c r="Y1064">
        <v>768</v>
      </c>
      <c r="Z1064">
        <v>1.7045541000000001E-2</v>
      </c>
      <c r="AA1064">
        <v>33948</v>
      </c>
      <c r="AB1064">
        <v>0.01</v>
      </c>
      <c r="AC1064">
        <v>768</v>
      </c>
      <c r="AD1064">
        <v>2.2622835000000001E-2</v>
      </c>
      <c r="AE1064">
        <v>0</v>
      </c>
      <c r="AF1064">
        <v>768</v>
      </c>
      <c r="AG1064">
        <v>0</v>
      </c>
      <c r="AH1064">
        <f t="shared" si="16"/>
        <v>2.2622834924001415E-2</v>
      </c>
    </row>
    <row r="1065" spans="1:34" x14ac:dyDescent="0.25">
      <c r="A1065" s="1">
        <v>45072</v>
      </c>
      <c r="B1065">
        <v>566</v>
      </c>
      <c r="C1065">
        <v>4.2357274E-2</v>
      </c>
      <c r="D1065">
        <v>730</v>
      </c>
      <c r="E1065">
        <v>3.1073446000000001E-2</v>
      </c>
      <c r="F1065">
        <v>1.1283827999999999E-2</v>
      </c>
      <c r="G1065">
        <v>1.1283827999999999E-2</v>
      </c>
      <c r="H1065">
        <v>2.3773131999999999E-2</v>
      </c>
      <c r="I1065">
        <v>1.5508536999999999E-2</v>
      </c>
      <c r="J1065">
        <v>1</v>
      </c>
      <c r="K1065">
        <v>0</v>
      </c>
      <c r="L1065">
        <v>0</v>
      </c>
      <c r="M1065">
        <v>5</v>
      </c>
      <c r="N1065">
        <v>0.94616710599999998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W1065">
        <v>0</v>
      </c>
      <c r="X1065">
        <v>0</v>
      </c>
      <c r="Y1065">
        <v>0</v>
      </c>
      <c r="Z1065">
        <v>2.3773131999999999E-2</v>
      </c>
      <c r="AA1065">
        <v>0</v>
      </c>
      <c r="AB1065" t="s">
        <v>33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f t="shared" si="16"/>
        <v>0</v>
      </c>
    </row>
    <row r="1066" spans="1:34" x14ac:dyDescent="0.25">
      <c r="A1066" s="1">
        <v>45075</v>
      </c>
      <c r="B1066">
        <v>568</v>
      </c>
      <c r="C1066">
        <v>3.5335689999999999E-3</v>
      </c>
      <c r="D1066">
        <v>738</v>
      </c>
      <c r="E1066">
        <v>1.0958904E-2</v>
      </c>
      <c r="F1066">
        <v>-7.4253349999999999E-3</v>
      </c>
      <c r="G1066">
        <v>7.4253349999999999E-3</v>
      </c>
      <c r="H1066">
        <v>2.305623E-2</v>
      </c>
      <c r="I1066">
        <v>1.5528024E-2</v>
      </c>
      <c r="J1066">
        <v>0</v>
      </c>
      <c r="K1066">
        <v>0</v>
      </c>
      <c r="L1066">
        <v>0</v>
      </c>
      <c r="M1066">
        <v>5</v>
      </c>
      <c r="N1066">
        <v>4.0295967590000004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W1066">
        <v>0</v>
      </c>
      <c r="X1066">
        <v>0</v>
      </c>
      <c r="Y1066">
        <v>0</v>
      </c>
      <c r="Z1066">
        <v>2.305623E-2</v>
      </c>
      <c r="AA1066">
        <v>0</v>
      </c>
      <c r="AB1066" t="s">
        <v>33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f t="shared" si="16"/>
        <v>0</v>
      </c>
    </row>
    <row r="1067" spans="1:34" x14ac:dyDescent="0.25">
      <c r="A1067" s="1">
        <v>45076</v>
      </c>
      <c r="B1067">
        <v>566</v>
      </c>
      <c r="C1067">
        <v>-3.5211270000000002E-3</v>
      </c>
      <c r="D1067">
        <v>763</v>
      </c>
      <c r="E1067">
        <v>3.3875338999999997E-2</v>
      </c>
      <c r="F1067">
        <v>-3.7396466000000003E-2</v>
      </c>
      <c r="G1067">
        <v>3.7396466000000003E-2</v>
      </c>
      <c r="H1067">
        <v>2.3344099E-2</v>
      </c>
      <c r="I1067">
        <v>1.9120773000000001E-2</v>
      </c>
      <c r="J1067">
        <v>0</v>
      </c>
      <c r="K1067">
        <v>1</v>
      </c>
      <c r="L1067">
        <v>1</v>
      </c>
      <c r="M1067">
        <v>5</v>
      </c>
      <c r="N1067">
        <v>12.96910761</v>
      </c>
      <c r="O1067">
        <v>65</v>
      </c>
      <c r="P1067">
        <v>-5</v>
      </c>
      <c r="Q1067">
        <v>70</v>
      </c>
      <c r="R1067">
        <v>-36790</v>
      </c>
      <c r="S1067">
        <v>3815</v>
      </c>
      <c r="T1067">
        <v>0</v>
      </c>
      <c r="U1067">
        <v>0</v>
      </c>
      <c r="V1067" t="s">
        <v>34</v>
      </c>
      <c r="W1067">
        <v>-36790</v>
      </c>
      <c r="X1067">
        <v>3815</v>
      </c>
      <c r="Y1067">
        <v>0</v>
      </c>
      <c r="Z1067">
        <v>2.3344099E-2</v>
      </c>
      <c r="AA1067">
        <v>40605</v>
      </c>
      <c r="AB1067">
        <v>0.01</v>
      </c>
      <c r="AC1067">
        <v>0</v>
      </c>
      <c r="AD1067">
        <v>0</v>
      </c>
      <c r="AE1067">
        <v>0</v>
      </c>
      <c r="AF1067">
        <v>0</v>
      </c>
      <c r="AG1067">
        <v>40605</v>
      </c>
      <c r="AH1067">
        <f t="shared" si="16"/>
        <v>0</v>
      </c>
    </row>
    <row r="1068" spans="1:34" x14ac:dyDescent="0.25">
      <c r="A1068" s="1">
        <v>45077</v>
      </c>
      <c r="B1068">
        <v>558</v>
      </c>
      <c r="C1068">
        <v>-1.4134275999999999E-2</v>
      </c>
      <c r="D1068">
        <v>759</v>
      </c>
      <c r="E1068">
        <v>-5.2424639999999996E-3</v>
      </c>
      <c r="F1068">
        <v>-8.8918120000000007E-3</v>
      </c>
      <c r="G1068">
        <v>8.8918120000000007E-3</v>
      </c>
      <c r="H1068">
        <v>2.4558766999999999E-2</v>
      </c>
      <c r="I1068">
        <v>1.8678014E-2</v>
      </c>
      <c r="J1068">
        <v>0</v>
      </c>
      <c r="K1068">
        <v>1</v>
      </c>
      <c r="L1068">
        <v>0</v>
      </c>
      <c r="M1068">
        <v>5</v>
      </c>
      <c r="N1068">
        <v>0.50450964600000003</v>
      </c>
      <c r="O1068">
        <v>-65</v>
      </c>
      <c r="P1068">
        <v>5</v>
      </c>
      <c r="Q1068">
        <v>70</v>
      </c>
      <c r="R1068">
        <v>36270</v>
      </c>
      <c r="S1068">
        <v>-3795</v>
      </c>
      <c r="T1068">
        <v>-520</v>
      </c>
      <c r="U1068">
        <v>20</v>
      </c>
      <c r="V1068" t="s">
        <v>37</v>
      </c>
      <c r="W1068">
        <v>0</v>
      </c>
      <c r="X1068">
        <v>0</v>
      </c>
      <c r="Y1068">
        <v>0</v>
      </c>
      <c r="Z1068">
        <v>2.4558766999999999E-2</v>
      </c>
      <c r="AA1068">
        <v>40065</v>
      </c>
      <c r="AB1068">
        <v>0.01</v>
      </c>
      <c r="AC1068">
        <v>-500</v>
      </c>
      <c r="AD1068">
        <v>-1.247972E-2</v>
      </c>
      <c r="AE1068">
        <v>0</v>
      </c>
      <c r="AF1068">
        <v>0</v>
      </c>
      <c r="AG1068">
        <v>0</v>
      </c>
      <c r="AH1068">
        <f t="shared" si="16"/>
        <v>0</v>
      </c>
    </row>
    <row r="1069" spans="1:34" x14ac:dyDescent="0.25">
      <c r="A1069" s="1">
        <v>45078</v>
      </c>
      <c r="B1069">
        <v>551</v>
      </c>
      <c r="C1069">
        <v>-1.2544803E-2</v>
      </c>
      <c r="D1069">
        <v>748</v>
      </c>
      <c r="E1069">
        <v>-1.4492754E-2</v>
      </c>
      <c r="F1069">
        <v>1.9479510000000001E-3</v>
      </c>
      <c r="G1069">
        <v>1.9479510000000001E-3</v>
      </c>
      <c r="H1069">
        <v>2.3059346000000001E-2</v>
      </c>
      <c r="I1069">
        <v>2.1445565999999999E-2</v>
      </c>
      <c r="J1069">
        <v>1</v>
      </c>
      <c r="K1069">
        <v>0</v>
      </c>
      <c r="L1069">
        <v>-1</v>
      </c>
      <c r="M1069">
        <v>5</v>
      </c>
      <c r="N1069">
        <v>1.568328618</v>
      </c>
      <c r="O1069">
        <v>-65</v>
      </c>
      <c r="P1069">
        <v>5</v>
      </c>
      <c r="Q1069">
        <v>70</v>
      </c>
      <c r="R1069">
        <v>35815</v>
      </c>
      <c r="S1069">
        <v>-3740</v>
      </c>
      <c r="T1069">
        <v>-975</v>
      </c>
      <c r="U1069">
        <v>75</v>
      </c>
      <c r="V1069" t="s">
        <v>35</v>
      </c>
      <c r="W1069">
        <v>35815</v>
      </c>
      <c r="X1069">
        <v>-3740</v>
      </c>
      <c r="Y1069">
        <v>-900</v>
      </c>
      <c r="Z1069">
        <v>2.3059346000000001E-2</v>
      </c>
      <c r="AA1069">
        <v>39555</v>
      </c>
      <c r="AB1069">
        <v>0.01</v>
      </c>
      <c r="AC1069">
        <v>-900</v>
      </c>
      <c r="AD1069">
        <v>-2.2753129E-2</v>
      </c>
      <c r="AE1069">
        <v>0</v>
      </c>
      <c r="AF1069">
        <v>-900</v>
      </c>
      <c r="AG1069">
        <v>0</v>
      </c>
      <c r="AH1069">
        <f t="shared" si="16"/>
        <v>-2.2753128555176336E-2</v>
      </c>
    </row>
    <row r="1070" spans="1:34" x14ac:dyDescent="0.25">
      <c r="A1070" s="1">
        <v>45079</v>
      </c>
      <c r="B1070">
        <v>562</v>
      </c>
      <c r="C1070">
        <v>1.9963702E-2</v>
      </c>
      <c r="D1070">
        <v>751</v>
      </c>
      <c r="E1070">
        <v>4.0106949999999999E-3</v>
      </c>
      <c r="F1070">
        <v>1.5953007000000002E-2</v>
      </c>
      <c r="G1070">
        <v>1.5953007000000002E-2</v>
      </c>
      <c r="H1070">
        <v>1.3888825E-2</v>
      </c>
      <c r="I1070">
        <v>1.8383211999999999E-2</v>
      </c>
      <c r="J1070">
        <v>1</v>
      </c>
      <c r="K1070">
        <v>0</v>
      </c>
      <c r="L1070">
        <v>0</v>
      </c>
      <c r="M1070">
        <v>5</v>
      </c>
      <c r="N1070">
        <v>0.26846161099999999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W1070">
        <v>0</v>
      </c>
      <c r="X1070">
        <v>0</v>
      </c>
      <c r="Y1070">
        <v>0</v>
      </c>
      <c r="Z1070">
        <v>1.8383211999999999E-2</v>
      </c>
      <c r="AA1070">
        <v>0</v>
      </c>
      <c r="AB1070" t="s">
        <v>33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f t="shared" si="16"/>
        <v>0</v>
      </c>
    </row>
    <row r="1071" spans="1:34" x14ac:dyDescent="0.25">
      <c r="A1071" s="1">
        <v>45082</v>
      </c>
      <c r="B1071">
        <v>555</v>
      </c>
      <c r="C1071">
        <v>-1.2455516E-2</v>
      </c>
      <c r="D1071">
        <v>759</v>
      </c>
      <c r="E1071">
        <v>1.0652462999999999E-2</v>
      </c>
      <c r="F1071">
        <v>-2.3107979000000001E-2</v>
      </c>
      <c r="G1071">
        <v>2.3107979000000001E-2</v>
      </c>
      <c r="H1071">
        <v>1.4320019999999999E-2</v>
      </c>
      <c r="I1071">
        <v>1.8362303999999999E-2</v>
      </c>
      <c r="J1071">
        <v>0</v>
      </c>
      <c r="K1071">
        <v>1</v>
      </c>
      <c r="L1071">
        <v>1</v>
      </c>
      <c r="M1071">
        <v>5</v>
      </c>
      <c r="N1071">
        <v>1.1695993499999999</v>
      </c>
      <c r="O1071">
        <v>6</v>
      </c>
      <c r="P1071">
        <v>-5</v>
      </c>
      <c r="Q1071">
        <v>11</v>
      </c>
      <c r="R1071">
        <v>-3330</v>
      </c>
      <c r="S1071">
        <v>3795</v>
      </c>
      <c r="T1071">
        <v>0</v>
      </c>
      <c r="U1071">
        <v>0</v>
      </c>
      <c r="V1071" t="s">
        <v>34</v>
      </c>
      <c r="W1071">
        <v>-3330</v>
      </c>
      <c r="X1071">
        <v>3795</v>
      </c>
      <c r="Y1071">
        <v>0</v>
      </c>
      <c r="Z1071">
        <v>1.8362303999999999E-2</v>
      </c>
      <c r="AA1071">
        <v>7125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7125</v>
      </c>
      <c r="AH1071">
        <f t="shared" si="16"/>
        <v>0</v>
      </c>
    </row>
    <row r="1072" spans="1:34" x14ac:dyDescent="0.25">
      <c r="A1072" s="1">
        <v>45083</v>
      </c>
      <c r="B1072">
        <v>560</v>
      </c>
      <c r="C1072">
        <v>9.0090090000000001E-3</v>
      </c>
      <c r="D1072">
        <v>757</v>
      </c>
      <c r="E1072">
        <v>-2.6350459999999998E-3</v>
      </c>
      <c r="F1072">
        <v>1.1644055E-2</v>
      </c>
      <c r="G1072">
        <v>1.1644055E-2</v>
      </c>
      <c r="H1072">
        <v>1.5583233E-2</v>
      </c>
      <c r="I1072">
        <v>9.5150879999999997E-3</v>
      </c>
      <c r="J1072">
        <v>1</v>
      </c>
      <c r="K1072">
        <v>0</v>
      </c>
      <c r="L1072">
        <v>-1</v>
      </c>
      <c r="M1072">
        <v>5</v>
      </c>
      <c r="N1072">
        <v>0.39538396399999998</v>
      </c>
      <c r="O1072">
        <v>-6</v>
      </c>
      <c r="P1072">
        <v>5</v>
      </c>
      <c r="Q1072">
        <v>11</v>
      </c>
      <c r="R1072">
        <v>3360</v>
      </c>
      <c r="S1072">
        <v>-3785</v>
      </c>
      <c r="T1072">
        <v>30</v>
      </c>
      <c r="U1072">
        <v>10</v>
      </c>
      <c r="V1072" t="s">
        <v>35</v>
      </c>
      <c r="W1072">
        <v>3360</v>
      </c>
      <c r="X1072">
        <v>-3785</v>
      </c>
      <c r="Y1072">
        <v>40</v>
      </c>
      <c r="Z1072">
        <v>1.5583233E-2</v>
      </c>
      <c r="AA1072">
        <v>7145</v>
      </c>
      <c r="AB1072">
        <v>0</v>
      </c>
      <c r="AC1072">
        <v>40</v>
      </c>
      <c r="AD1072">
        <v>5.5983209999999999E-3</v>
      </c>
      <c r="AE1072">
        <v>0</v>
      </c>
      <c r="AF1072">
        <v>40</v>
      </c>
      <c r="AG1072">
        <v>0</v>
      </c>
      <c r="AH1072">
        <f t="shared" si="16"/>
        <v>5.598320503848845E-3</v>
      </c>
    </row>
    <row r="1073" spans="1:34" x14ac:dyDescent="0.25">
      <c r="A1073" s="1">
        <v>45084</v>
      </c>
      <c r="B1073">
        <v>568</v>
      </c>
      <c r="C1073">
        <v>1.4285714E-2</v>
      </c>
      <c r="D1073">
        <v>768</v>
      </c>
      <c r="E1073">
        <v>1.4531044E-2</v>
      </c>
      <c r="F1073">
        <v>-2.4532900000000002E-4</v>
      </c>
      <c r="G1073">
        <v>2.4532900000000002E-4</v>
      </c>
      <c r="H1073">
        <v>1.5244946000000001E-2</v>
      </c>
      <c r="I1073">
        <v>1.1495386E-2</v>
      </c>
      <c r="J1073">
        <v>0</v>
      </c>
      <c r="K1073">
        <v>0</v>
      </c>
      <c r="L1073">
        <v>0</v>
      </c>
      <c r="M1073">
        <v>5</v>
      </c>
      <c r="N1073">
        <v>1.375332577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W1073">
        <v>0</v>
      </c>
      <c r="X1073">
        <v>0</v>
      </c>
      <c r="Y1073">
        <v>0</v>
      </c>
      <c r="Z1073">
        <v>1.5244946000000001E-2</v>
      </c>
      <c r="AA1073">
        <v>0</v>
      </c>
      <c r="AB1073" t="s">
        <v>33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f t="shared" si="16"/>
        <v>0</v>
      </c>
    </row>
    <row r="1074" spans="1:34" x14ac:dyDescent="0.25">
      <c r="A1074" s="1">
        <v>45085</v>
      </c>
      <c r="B1074">
        <v>559</v>
      </c>
      <c r="C1074">
        <v>-1.5845069999999999E-2</v>
      </c>
      <c r="D1074">
        <v>768</v>
      </c>
      <c r="E1074">
        <v>0</v>
      </c>
      <c r="F1074">
        <v>-1.5845069999999999E-2</v>
      </c>
      <c r="G1074">
        <v>1.5845069999999999E-2</v>
      </c>
      <c r="H1074">
        <v>1.6165178999999998E-2</v>
      </c>
      <c r="I1074">
        <v>7.1864040000000004E-3</v>
      </c>
      <c r="J1074">
        <v>0</v>
      </c>
      <c r="K1074">
        <v>0</v>
      </c>
      <c r="L1074">
        <v>0</v>
      </c>
      <c r="M1074">
        <v>5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W1074">
        <v>0</v>
      </c>
      <c r="X1074">
        <v>0</v>
      </c>
      <c r="Y1074">
        <v>0</v>
      </c>
      <c r="Z1074">
        <v>1.6165178999999998E-2</v>
      </c>
      <c r="AA1074">
        <v>0</v>
      </c>
      <c r="AB1074" t="s">
        <v>33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f t="shared" si="16"/>
        <v>0</v>
      </c>
    </row>
    <row r="1075" spans="1:34" x14ac:dyDescent="0.25">
      <c r="A1075" s="1">
        <v>45086</v>
      </c>
      <c r="B1075">
        <v>565</v>
      </c>
      <c r="C1075">
        <v>1.0733453E-2</v>
      </c>
      <c r="D1075">
        <v>764</v>
      </c>
      <c r="E1075">
        <v>-5.2083329999999999E-3</v>
      </c>
      <c r="F1075">
        <v>1.5941785999999999E-2</v>
      </c>
      <c r="G1075">
        <v>1.5941785999999999E-2</v>
      </c>
      <c r="H1075">
        <v>1.4142984000000001E-2</v>
      </c>
      <c r="I1075">
        <v>8.6394499999999999E-3</v>
      </c>
      <c r="J1075">
        <v>1</v>
      </c>
      <c r="K1075">
        <v>1</v>
      </c>
      <c r="L1075">
        <v>1</v>
      </c>
      <c r="M1075">
        <v>5</v>
      </c>
      <c r="N1075">
        <v>0.65615167200000002</v>
      </c>
      <c r="O1075">
        <v>-4</v>
      </c>
      <c r="P1075">
        <v>5</v>
      </c>
      <c r="Q1075">
        <v>9</v>
      </c>
      <c r="R1075">
        <v>2260</v>
      </c>
      <c r="S1075">
        <v>-3820</v>
      </c>
      <c r="T1075">
        <v>0</v>
      </c>
      <c r="U1075">
        <v>0</v>
      </c>
      <c r="V1075" t="s">
        <v>34</v>
      </c>
      <c r="W1075">
        <v>2260</v>
      </c>
      <c r="X1075">
        <v>-3820</v>
      </c>
      <c r="Y1075">
        <v>0</v>
      </c>
      <c r="Z1075">
        <v>1.4142984000000001E-2</v>
      </c>
      <c r="AA1075">
        <v>6080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6080</v>
      </c>
      <c r="AH1075">
        <f t="shared" si="16"/>
        <v>0</v>
      </c>
    </row>
    <row r="1076" spans="1:34" x14ac:dyDescent="0.25">
      <c r="A1076" s="1">
        <v>45089</v>
      </c>
      <c r="B1076">
        <v>574</v>
      </c>
      <c r="C1076">
        <v>1.5929203999999999E-2</v>
      </c>
      <c r="D1076">
        <v>767</v>
      </c>
      <c r="E1076">
        <v>3.9267019999999998E-3</v>
      </c>
      <c r="F1076">
        <v>1.2002502E-2</v>
      </c>
      <c r="G1076">
        <v>1.2002502E-2</v>
      </c>
      <c r="H1076">
        <v>1.296656E-2</v>
      </c>
      <c r="I1076">
        <v>7.7153660000000004E-3</v>
      </c>
      <c r="J1076">
        <v>1</v>
      </c>
      <c r="K1076">
        <v>1</v>
      </c>
      <c r="L1076">
        <v>0</v>
      </c>
      <c r="M1076">
        <v>5</v>
      </c>
      <c r="N1076">
        <v>0.32939522999999998</v>
      </c>
      <c r="O1076">
        <v>4</v>
      </c>
      <c r="P1076">
        <v>-5</v>
      </c>
      <c r="Q1076">
        <v>9</v>
      </c>
      <c r="R1076">
        <v>-2296</v>
      </c>
      <c r="S1076">
        <v>3835</v>
      </c>
      <c r="T1076">
        <v>-36</v>
      </c>
      <c r="U1076">
        <v>15</v>
      </c>
      <c r="V1076" t="s">
        <v>37</v>
      </c>
      <c r="W1076">
        <v>0</v>
      </c>
      <c r="X1076">
        <v>0</v>
      </c>
      <c r="Y1076">
        <v>0</v>
      </c>
      <c r="Z1076">
        <v>1.296656E-2</v>
      </c>
      <c r="AA1076">
        <v>6131</v>
      </c>
      <c r="AB1076">
        <v>0</v>
      </c>
      <c r="AC1076">
        <v>-21</v>
      </c>
      <c r="AD1076">
        <v>-3.425216E-3</v>
      </c>
      <c r="AE1076">
        <v>0</v>
      </c>
      <c r="AF1076">
        <v>0</v>
      </c>
      <c r="AG1076">
        <v>0</v>
      </c>
      <c r="AH1076">
        <f t="shared" si="16"/>
        <v>0</v>
      </c>
    </row>
    <row r="1077" spans="1:34" x14ac:dyDescent="0.25">
      <c r="A1077" s="1">
        <v>45090</v>
      </c>
      <c r="B1077">
        <v>593</v>
      </c>
      <c r="C1077">
        <v>3.3101045000000003E-2</v>
      </c>
      <c r="D1077">
        <v>779</v>
      </c>
      <c r="E1077">
        <v>1.5645372000000001E-2</v>
      </c>
      <c r="F1077">
        <v>1.7455674000000001E-2</v>
      </c>
      <c r="G1077">
        <v>1.7455674000000001E-2</v>
      </c>
      <c r="H1077">
        <v>1.7622602000000001E-2</v>
      </c>
      <c r="I1077">
        <v>9.1034730000000008E-3</v>
      </c>
      <c r="J1077">
        <v>1</v>
      </c>
      <c r="K1077">
        <v>1</v>
      </c>
      <c r="L1077">
        <v>0</v>
      </c>
      <c r="M1077">
        <v>5</v>
      </c>
      <c r="N1077">
        <v>0.62090754599999998</v>
      </c>
      <c r="O1077">
        <v>4</v>
      </c>
      <c r="P1077">
        <v>-5</v>
      </c>
      <c r="Q1077">
        <v>9</v>
      </c>
      <c r="R1077">
        <v>-2372</v>
      </c>
      <c r="S1077">
        <v>3895</v>
      </c>
      <c r="T1077">
        <v>-112</v>
      </c>
      <c r="U1077">
        <v>75</v>
      </c>
      <c r="V1077" t="s">
        <v>37</v>
      </c>
      <c r="W1077">
        <v>0</v>
      </c>
      <c r="X1077">
        <v>0</v>
      </c>
      <c r="Y1077">
        <v>0</v>
      </c>
      <c r="Z1077">
        <v>1.7622602000000001E-2</v>
      </c>
      <c r="AA1077">
        <v>6267</v>
      </c>
      <c r="AB1077">
        <v>0</v>
      </c>
      <c r="AC1077">
        <v>-37</v>
      </c>
      <c r="AD1077">
        <v>-5.9039410000000002E-3</v>
      </c>
      <c r="AE1077">
        <v>0</v>
      </c>
      <c r="AF1077">
        <v>0</v>
      </c>
      <c r="AG1077">
        <v>0</v>
      </c>
      <c r="AH1077">
        <f t="shared" si="16"/>
        <v>0</v>
      </c>
    </row>
    <row r="1078" spans="1:34" x14ac:dyDescent="0.25">
      <c r="A1078" s="1">
        <v>45091</v>
      </c>
      <c r="B1078">
        <v>590</v>
      </c>
      <c r="C1078">
        <v>-5.0590219999999998E-3</v>
      </c>
      <c r="D1078">
        <v>780</v>
      </c>
      <c r="E1078">
        <v>1.2836970000000001E-3</v>
      </c>
      <c r="F1078">
        <v>-6.3427190000000001E-3</v>
      </c>
      <c r="G1078">
        <v>6.3427190000000001E-3</v>
      </c>
      <c r="H1078">
        <v>1.8968868E-2</v>
      </c>
      <c r="I1078">
        <v>7.746012E-3</v>
      </c>
      <c r="J1078">
        <v>0</v>
      </c>
      <c r="K1078">
        <v>0</v>
      </c>
      <c r="L1078">
        <v>-1</v>
      </c>
      <c r="M1078">
        <v>5</v>
      </c>
      <c r="N1078">
        <v>0.335458323</v>
      </c>
      <c r="O1078">
        <v>4</v>
      </c>
      <c r="P1078">
        <v>-5</v>
      </c>
      <c r="Q1078">
        <v>9</v>
      </c>
      <c r="R1078">
        <v>-2360</v>
      </c>
      <c r="S1078">
        <v>3900</v>
      </c>
      <c r="T1078">
        <v>-100</v>
      </c>
      <c r="U1078">
        <v>80</v>
      </c>
      <c r="V1078" t="s">
        <v>35</v>
      </c>
      <c r="W1078">
        <v>-2360</v>
      </c>
      <c r="X1078">
        <v>3900</v>
      </c>
      <c r="Y1078">
        <v>-20</v>
      </c>
      <c r="Z1078">
        <v>1.8968868E-2</v>
      </c>
      <c r="AA1078">
        <v>6260</v>
      </c>
      <c r="AB1078">
        <v>0</v>
      </c>
      <c r="AC1078">
        <v>-20</v>
      </c>
      <c r="AD1078">
        <v>-3.1948879999999999E-3</v>
      </c>
      <c r="AE1078">
        <v>0</v>
      </c>
      <c r="AF1078">
        <v>-20</v>
      </c>
      <c r="AG1078">
        <v>0</v>
      </c>
      <c r="AH1078">
        <f t="shared" si="16"/>
        <v>-3.1948881789137379E-3</v>
      </c>
    </row>
    <row r="1079" spans="1:34" x14ac:dyDescent="0.25">
      <c r="A1079" s="1">
        <v>45092</v>
      </c>
      <c r="B1079">
        <v>591</v>
      </c>
      <c r="C1079">
        <v>1.694915E-3</v>
      </c>
      <c r="D1079">
        <v>766</v>
      </c>
      <c r="E1079">
        <v>-1.7948717999999999E-2</v>
      </c>
      <c r="F1079">
        <v>1.9643633000000001E-2</v>
      </c>
      <c r="G1079">
        <v>1.9643633000000001E-2</v>
      </c>
      <c r="H1079">
        <v>1.4636507E-2</v>
      </c>
      <c r="I1079">
        <v>1.2349783E-2</v>
      </c>
      <c r="J1079">
        <v>1</v>
      </c>
      <c r="K1079">
        <v>1</v>
      </c>
      <c r="L1079">
        <v>1</v>
      </c>
      <c r="M1079">
        <v>5</v>
      </c>
      <c r="N1079">
        <v>13.725454470000001</v>
      </c>
      <c r="O1079">
        <v>-69</v>
      </c>
      <c r="P1079">
        <v>5</v>
      </c>
      <c r="Q1079">
        <v>74</v>
      </c>
      <c r="R1079">
        <v>40779</v>
      </c>
      <c r="S1079">
        <v>-3830</v>
      </c>
      <c r="T1079">
        <v>0</v>
      </c>
      <c r="U1079">
        <v>0</v>
      </c>
      <c r="V1079" t="s">
        <v>34</v>
      </c>
      <c r="W1079">
        <v>40779</v>
      </c>
      <c r="X1079">
        <v>-3830</v>
      </c>
      <c r="Y1079">
        <v>0</v>
      </c>
      <c r="Z1079">
        <v>1.4636507E-2</v>
      </c>
      <c r="AA1079">
        <v>44609</v>
      </c>
      <c r="AB1079">
        <v>0.01</v>
      </c>
      <c r="AC1079">
        <v>0</v>
      </c>
      <c r="AD1079">
        <v>0</v>
      </c>
      <c r="AE1079">
        <v>0</v>
      </c>
      <c r="AF1079">
        <v>0</v>
      </c>
      <c r="AG1079">
        <v>44609</v>
      </c>
      <c r="AH1079">
        <f t="shared" si="16"/>
        <v>0</v>
      </c>
    </row>
    <row r="1080" spans="1:34" x14ac:dyDescent="0.25">
      <c r="A1080" s="1">
        <v>45093</v>
      </c>
      <c r="B1080">
        <v>589</v>
      </c>
      <c r="C1080">
        <v>-3.3840950000000002E-3</v>
      </c>
      <c r="D1080">
        <v>751</v>
      </c>
      <c r="E1080">
        <v>-1.9582245000000002E-2</v>
      </c>
      <c r="F1080">
        <v>1.6198151000000001E-2</v>
      </c>
      <c r="G1080">
        <v>1.6198151000000001E-2</v>
      </c>
      <c r="H1080">
        <v>1.6060689E-2</v>
      </c>
      <c r="I1080">
        <v>1.5098451000000001E-2</v>
      </c>
      <c r="J1080">
        <v>1</v>
      </c>
      <c r="K1080">
        <v>1</v>
      </c>
      <c r="L1080">
        <v>0</v>
      </c>
      <c r="M1080">
        <v>5</v>
      </c>
      <c r="N1080">
        <v>7.3781013529999999</v>
      </c>
      <c r="O1080">
        <v>69</v>
      </c>
      <c r="P1080">
        <v>-5</v>
      </c>
      <c r="Q1080">
        <v>74</v>
      </c>
      <c r="R1080">
        <v>-40641</v>
      </c>
      <c r="S1080">
        <v>3755</v>
      </c>
      <c r="T1080">
        <v>138</v>
      </c>
      <c r="U1080">
        <v>-75</v>
      </c>
      <c r="V1080" t="s">
        <v>37</v>
      </c>
      <c r="W1080">
        <v>0</v>
      </c>
      <c r="X1080">
        <v>0</v>
      </c>
      <c r="Y1080">
        <v>0</v>
      </c>
      <c r="Z1080">
        <v>1.6060689E-2</v>
      </c>
      <c r="AA1080">
        <v>44396</v>
      </c>
      <c r="AB1080">
        <v>0.01</v>
      </c>
      <c r="AC1080">
        <v>63</v>
      </c>
      <c r="AD1080">
        <v>1.4190470000000001E-3</v>
      </c>
      <c r="AE1080">
        <v>0</v>
      </c>
      <c r="AF1080">
        <v>0</v>
      </c>
      <c r="AG1080">
        <v>0</v>
      </c>
      <c r="AH1080">
        <f t="shared" si="16"/>
        <v>0</v>
      </c>
    </row>
    <row r="1081" spans="1:34" x14ac:dyDescent="0.25">
      <c r="A1081" s="1">
        <v>45096</v>
      </c>
      <c r="B1081">
        <v>583</v>
      </c>
      <c r="C1081">
        <v>-1.0186756999999999E-2</v>
      </c>
      <c r="D1081">
        <v>785</v>
      </c>
      <c r="E1081">
        <v>4.5272969000000003E-2</v>
      </c>
      <c r="F1081">
        <v>-5.5459727E-2</v>
      </c>
      <c r="G1081">
        <v>5.5459727E-2</v>
      </c>
      <c r="H1081">
        <v>1.7227154000000001E-2</v>
      </c>
      <c r="I1081">
        <v>2.6832609E-2</v>
      </c>
      <c r="J1081">
        <v>0</v>
      </c>
      <c r="K1081">
        <v>0</v>
      </c>
      <c r="L1081">
        <v>-1</v>
      </c>
      <c r="M1081">
        <v>5</v>
      </c>
      <c r="N1081">
        <v>5.9841728090000004</v>
      </c>
      <c r="O1081">
        <v>69</v>
      </c>
      <c r="P1081">
        <v>-5</v>
      </c>
      <c r="Q1081">
        <v>74</v>
      </c>
      <c r="R1081">
        <v>-40227</v>
      </c>
      <c r="S1081">
        <v>3925</v>
      </c>
      <c r="T1081">
        <v>552</v>
      </c>
      <c r="U1081">
        <v>95</v>
      </c>
      <c r="V1081" t="s">
        <v>35</v>
      </c>
      <c r="W1081">
        <v>-40227</v>
      </c>
      <c r="X1081">
        <v>3925</v>
      </c>
      <c r="Y1081">
        <v>647</v>
      </c>
      <c r="Z1081">
        <v>2.6832609E-2</v>
      </c>
      <c r="AA1081">
        <v>44152</v>
      </c>
      <c r="AB1081">
        <v>0.01</v>
      </c>
      <c r="AC1081">
        <v>647</v>
      </c>
      <c r="AD1081">
        <v>1.4653922999999999E-2</v>
      </c>
      <c r="AE1081">
        <v>0</v>
      </c>
      <c r="AF1081">
        <v>647</v>
      </c>
      <c r="AG1081">
        <v>0</v>
      </c>
      <c r="AH1081">
        <f t="shared" si="16"/>
        <v>1.4653922812103643E-2</v>
      </c>
    </row>
    <row r="1082" spans="1:34" x14ac:dyDescent="0.25">
      <c r="A1082" s="1">
        <v>45097</v>
      </c>
      <c r="B1082">
        <v>583</v>
      </c>
      <c r="C1082">
        <v>0</v>
      </c>
      <c r="D1082">
        <v>691</v>
      </c>
      <c r="E1082">
        <v>-0.119745223</v>
      </c>
      <c r="F1082">
        <v>0.119745223</v>
      </c>
      <c r="G1082">
        <v>0.119745223</v>
      </c>
      <c r="H1082">
        <v>4.6456969999999998E-3</v>
      </c>
      <c r="I1082">
        <v>6.0506335000000001E-2</v>
      </c>
      <c r="J1082">
        <v>1</v>
      </c>
      <c r="K1082">
        <v>0</v>
      </c>
      <c r="L1082">
        <v>0</v>
      </c>
      <c r="M1082">
        <v>5</v>
      </c>
      <c r="N1082" t="s">
        <v>36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W1082">
        <v>0</v>
      </c>
      <c r="X1082">
        <v>0</v>
      </c>
      <c r="Y1082">
        <v>0</v>
      </c>
      <c r="Z1082">
        <v>6.0506335000000001E-2</v>
      </c>
      <c r="AA1082">
        <v>0</v>
      </c>
      <c r="AB1082" t="s">
        <v>33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f t="shared" si="16"/>
        <v>0</v>
      </c>
    </row>
    <row r="1083" spans="1:34" x14ac:dyDescent="0.25">
      <c r="A1083" s="1">
        <v>45098</v>
      </c>
      <c r="B1083">
        <v>581</v>
      </c>
      <c r="C1083">
        <v>-3.430532E-3</v>
      </c>
      <c r="D1083">
        <v>693</v>
      </c>
      <c r="E1083">
        <v>2.8943559999999998E-3</v>
      </c>
      <c r="F1083">
        <v>-6.3248879999999999E-3</v>
      </c>
      <c r="G1083">
        <v>6.3248879999999999E-3</v>
      </c>
      <c r="H1083">
        <v>4.5553759999999999E-3</v>
      </c>
      <c r="I1083">
        <v>6.0666320000000003E-2</v>
      </c>
      <c r="J1083">
        <v>0</v>
      </c>
      <c r="K1083">
        <v>0</v>
      </c>
      <c r="L1083">
        <v>0</v>
      </c>
      <c r="M1083">
        <v>5</v>
      </c>
      <c r="N1083">
        <v>1.0063466599999999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W1083">
        <v>0</v>
      </c>
      <c r="X1083">
        <v>0</v>
      </c>
      <c r="Y1083">
        <v>0</v>
      </c>
      <c r="Z1083">
        <v>6.0666320000000003E-2</v>
      </c>
      <c r="AA1083">
        <v>0</v>
      </c>
      <c r="AB1083" t="s">
        <v>33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f t="shared" si="16"/>
        <v>0</v>
      </c>
    </row>
    <row r="1084" spans="1:34" x14ac:dyDescent="0.25">
      <c r="A1084" s="1">
        <v>45103</v>
      </c>
      <c r="B1084">
        <v>574</v>
      </c>
      <c r="C1084">
        <v>-1.2048193E-2</v>
      </c>
      <c r="D1084">
        <v>685</v>
      </c>
      <c r="E1084">
        <v>-1.1544011999999999E-2</v>
      </c>
      <c r="F1084">
        <v>-5.0418100000000003E-4</v>
      </c>
      <c r="G1084">
        <v>5.0418100000000003E-4</v>
      </c>
      <c r="H1084">
        <v>5.0836509999999998E-3</v>
      </c>
      <c r="I1084">
        <v>6.0835921000000001E-2</v>
      </c>
      <c r="J1084">
        <v>0</v>
      </c>
      <c r="K1084">
        <v>0</v>
      </c>
      <c r="L1084">
        <v>0</v>
      </c>
      <c r="M1084">
        <v>5</v>
      </c>
      <c r="N1084">
        <v>1.1434403769999999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W1084">
        <v>0</v>
      </c>
      <c r="X1084">
        <v>0</v>
      </c>
      <c r="Y1084">
        <v>0</v>
      </c>
      <c r="Z1084">
        <v>6.0835921000000001E-2</v>
      </c>
      <c r="AA1084">
        <v>0</v>
      </c>
      <c r="AB1084" t="s">
        <v>33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f t="shared" si="16"/>
        <v>0</v>
      </c>
    </row>
    <row r="1085" spans="1:34" x14ac:dyDescent="0.25">
      <c r="A1085" s="1">
        <v>45104</v>
      </c>
      <c r="B1085">
        <v>572</v>
      </c>
      <c r="C1085">
        <v>-3.4843209999999999E-3</v>
      </c>
      <c r="D1085">
        <v>681</v>
      </c>
      <c r="E1085">
        <v>-5.8394160000000001E-3</v>
      </c>
      <c r="F1085">
        <v>2.3550960000000001E-3</v>
      </c>
      <c r="G1085">
        <v>2.3550960000000001E-3</v>
      </c>
      <c r="H1085">
        <v>5.0718789999999996E-3</v>
      </c>
      <c r="I1085">
        <v>6.1199422000000003E-2</v>
      </c>
      <c r="J1085">
        <v>1</v>
      </c>
      <c r="K1085">
        <v>0</v>
      </c>
      <c r="L1085">
        <v>0</v>
      </c>
      <c r="M1085">
        <v>5</v>
      </c>
      <c r="N1085">
        <v>1.99527334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W1085">
        <v>0</v>
      </c>
      <c r="X1085">
        <v>0</v>
      </c>
      <c r="Y1085">
        <v>0</v>
      </c>
      <c r="Z1085">
        <v>6.1199422000000003E-2</v>
      </c>
      <c r="AA1085">
        <v>0</v>
      </c>
      <c r="AB1085" t="s">
        <v>33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f t="shared" si="16"/>
        <v>0</v>
      </c>
    </row>
    <row r="1086" spans="1:34" x14ac:dyDescent="0.25">
      <c r="A1086" s="1">
        <v>45105</v>
      </c>
      <c r="B1086">
        <v>574</v>
      </c>
      <c r="C1086">
        <v>3.4965030000000002E-3</v>
      </c>
      <c r="D1086">
        <v>695</v>
      </c>
      <c r="E1086">
        <v>2.0558002999999998E-2</v>
      </c>
      <c r="F1086">
        <v>-1.7061499000000001E-2</v>
      </c>
      <c r="G1086">
        <v>1.7061499000000001E-2</v>
      </c>
      <c r="H1086">
        <v>5.7760440000000001E-3</v>
      </c>
      <c r="I1086">
        <v>5.5571644000000003E-2</v>
      </c>
      <c r="J1086">
        <v>0</v>
      </c>
      <c r="K1086">
        <v>0</v>
      </c>
      <c r="L1086">
        <v>0</v>
      </c>
      <c r="M1086">
        <v>5</v>
      </c>
      <c r="N1086">
        <v>7.1190143619999997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W1086">
        <v>0</v>
      </c>
      <c r="X1086">
        <v>0</v>
      </c>
      <c r="Y1086">
        <v>0</v>
      </c>
      <c r="Z1086">
        <v>5.5571644000000003E-2</v>
      </c>
      <c r="AA1086">
        <v>0</v>
      </c>
      <c r="AB1086" t="s">
        <v>33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f t="shared" si="16"/>
        <v>0</v>
      </c>
    </row>
    <row r="1087" spans="1:34" x14ac:dyDescent="0.25">
      <c r="A1087" s="1">
        <v>45106</v>
      </c>
      <c r="B1087">
        <v>573</v>
      </c>
      <c r="C1087">
        <v>-1.74216E-3</v>
      </c>
      <c r="D1087">
        <v>696</v>
      </c>
      <c r="E1087">
        <v>1.4388490000000001E-3</v>
      </c>
      <c r="F1087">
        <v>-3.1810089999999998E-3</v>
      </c>
      <c r="G1087">
        <v>3.1810089999999998E-3</v>
      </c>
      <c r="H1087">
        <v>5.592423E-3</v>
      </c>
      <c r="I1087">
        <v>1.2136399000000001E-2</v>
      </c>
      <c r="J1087">
        <v>0</v>
      </c>
      <c r="K1087">
        <v>0</v>
      </c>
      <c r="L1087">
        <v>0</v>
      </c>
      <c r="M1087">
        <v>5</v>
      </c>
      <c r="N1087">
        <v>1.0031865609999999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W1087">
        <v>0</v>
      </c>
      <c r="X1087">
        <v>0</v>
      </c>
      <c r="Y1087">
        <v>0</v>
      </c>
      <c r="Z1087">
        <v>1.2136399000000001E-2</v>
      </c>
      <c r="AA1087">
        <v>0</v>
      </c>
      <c r="AB1087" t="s">
        <v>33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f t="shared" si="16"/>
        <v>0</v>
      </c>
    </row>
    <row r="1088" spans="1:34" x14ac:dyDescent="0.25">
      <c r="A1088" s="1">
        <v>45107</v>
      </c>
      <c r="B1088">
        <v>576</v>
      </c>
      <c r="C1088">
        <v>5.2356019999999998E-3</v>
      </c>
      <c r="D1088">
        <v>688</v>
      </c>
      <c r="E1088">
        <v>-1.1494252999999999E-2</v>
      </c>
      <c r="F1088">
        <v>1.6729854999999998E-2</v>
      </c>
      <c r="G1088">
        <v>1.6729854999999998E-2</v>
      </c>
      <c r="H1088">
        <v>6.8076530000000003E-3</v>
      </c>
      <c r="I1088">
        <v>1.3367063E-2</v>
      </c>
      <c r="J1088">
        <v>1</v>
      </c>
      <c r="K1088">
        <v>1</v>
      </c>
      <c r="L1088">
        <v>1</v>
      </c>
      <c r="M1088">
        <v>5</v>
      </c>
      <c r="N1088">
        <v>2.6222860790000002</v>
      </c>
      <c r="O1088">
        <v>-14</v>
      </c>
      <c r="P1088">
        <v>5</v>
      </c>
      <c r="Q1088">
        <v>19</v>
      </c>
      <c r="R1088">
        <v>8064</v>
      </c>
      <c r="S1088">
        <v>-3440</v>
      </c>
      <c r="T1088">
        <v>0</v>
      </c>
      <c r="U1088">
        <v>0</v>
      </c>
      <c r="V1088" t="s">
        <v>34</v>
      </c>
      <c r="W1088">
        <v>8064</v>
      </c>
      <c r="X1088">
        <v>-3440</v>
      </c>
      <c r="Y1088">
        <v>0</v>
      </c>
      <c r="Z1088">
        <v>1.3367063E-2</v>
      </c>
      <c r="AA1088">
        <v>11504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11504</v>
      </c>
      <c r="AH1088">
        <f t="shared" si="16"/>
        <v>0</v>
      </c>
    </row>
    <row r="1089" spans="1:34" x14ac:dyDescent="0.25">
      <c r="A1089" s="1">
        <v>45110</v>
      </c>
      <c r="B1089">
        <v>579</v>
      </c>
      <c r="C1089">
        <v>5.2083329999999999E-3</v>
      </c>
      <c r="D1089">
        <v>691</v>
      </c>
      <c r="E1089">
        <v>4.360465E-3</v>
      </c>
      <c r="F1089">
        <v>8.4786799999999999E-4</v>
      </c>
      <c r="G1089">
        <v>8.4786799999999999E-4</v>
      </c>
      <c r="H1089">
        <v>4.0851189999999999E-3</v>
      </c>
      <c r="I1089">
        <v>1.2182434000000001E-2</v>
      </c>
      <c r="J1089">
        <v>1</v>
      </c>
      <c r="K1089">
        <v>1</v>
      </c>
      <c r="L1089">
        <v>0</v>
      </c>
      <c r="M1089">
        <v>5</v>
      </c>
      <c r="N1089">
        <v>0.99915652499999996</v>
      </c>
      <c r="O1089">
        <v>14</v>
      </c>
      <c r="P1089">
        <v>-5</v>
      </c>
      <c r="Q1089">
        <v>19</v>
      </c>
      <c r="R1089">
        <v>-8106</v>
      </c>
      <c r="S1089">
        <v>3455</v>
      </c>
      <c r="T1089">
        <v>-42</v>
      </c>
      <c r="U1089">
        <v>15</v>
      </c>
      <c r="V1089" t="s">
        <v>37</v>
      </c>
      <c r="W1089">
        <v>0</v>
      </c>
      <c r="X1089">
        <v>0</v>
      </c>
      <c r="Y1089">
        <v>0</v>
      </c>
      <c r="Z1089">
        <v>1.2182434000000001E-2</v>
      </c>
      <c r="AA1089">
        <v>11561</v>
      </c>
      <c r="AB1089">
        <v>0</v>
      </c>
      <c r="AC1089">
        <v>-27</v>
      </c>
      <c r="AD1089">
        <v>-2.335438E-3</v>
      </c>
      <c r="AE1089">
        <v>0</v>
      </c>
      <c r="AF1089">
        <v>0</v>
      </c>
      <c r="AG1089">
        <v>0</v>
      </c>
      <c r="AH1089">
        <f t="shared" si="16"/>
        <v>0</v>
      </c>
    </row>
    <row r="1090" spans="1:34" x14ac:dyDescent="0.25">
      <c r="A1090" s="1">
        <v>45111</v>
      </c>
      <c r="B1090">
        <v>585</v>
      </c>
      <c r="C1090">
        <v>1.0362694E-2</v>
      </c>
      <c r="D1090">
        <v>700</v>
      </c>
      <c r="E1090">
        <v>1.3024602E-2</v>
      </c>
      <c r="F1090">
        <v>-2.6619080000000002E-3</v>
      </c>
      <c r="G1090">
        <v>2.6619080000000002E-3</v>
      </c>
      <c r="H1090">
        <v>4.341223E-3</v>
      </c>
      <c r="I1090">
        <v>1.2144228999999999E-2</v>
      </c>
      <c r="J1090">
        <v>0</v>
      </c>
      <c r="K1090">
        <v>0</v>
      </c>
      <c r="L1090">
        <v>-1</v>
      </c>
      <c r="M1090">
        <v>5</v>
      </c>
      <c r="N1090">
        <v>1.503951909</v>
      </c>
      <c r="O1090">
        <v>14</v>
      </c>
      <c r="P1090">
        <v>-5</v>
      </c>
      <c r="Q1090">
        <v>19</v>
      </c>
      <c r="R1090">
        <v>-8190</v>
      </c>
      <c r="S1090">
        <v>3500</v>
      </c>
      <c r="T1090">
        <v>-126</v>
      </c>
      <c r="U1090">
        <v>60</v>
      </c>
      <c r="V1090" t="s">
        <v>35</v>
      </c>
      <c r="W1090">
        <v>-8190</v>
      </c>
      <c r="X1090">
        <v>3500</v>
      </c>
      <c r="Y1090">
        <v>-66</v>
      </c>
      <c r="Z1090">
        <v>1.2144228999999999E-2</v>
      </c>
      <c r="AA1090">
        <v>11690</v>
      </c>
      <c r="AB1090">
        <v>0</v>
      </c>
      <c r="AC1090">
        <v>-66</v>
      </c>
      <c r="AD1090">
        <v>-5.6458510000000003E-3</v>
      </c>
      <c r="AE1090">
        <v>0</v>
      </c>
      <c r="AF1090">
        <v>-66</v>
      </c>
      <c r="AG1090">
        <v>0</v>
      </c>
      <c r="AH1090">
        <f t="shared" si="16"/>
        <v>-5.6458511548331909E-3</v>
      </c>
    </row>
    <row r="1091" spans="1:34" x14ac:dyDescent="0.25">
      <c r="A1091" s="1">
        <v>45112</v>
      </c>
      <c r="B1091">
        <v>582</v>
      </c>
      <c r="C1091">
        <v>-5.1282050000000003E-3</v>
      </c>
      <c r="D1091">
        <v>697</v>
      </c>
      <c r="E1091">
        <v>-4.2857140000000004E-3</v>
      </c>
      <c r="F1091">
        <v>-8.4249100000000001E-4</v>
      </c>
      <c r="G1091">
        <v>8.4249100000000001E-4</v>
      </c>
      <c r="H1091">
        <v>6.1727910000000004E-3</v>
      </c>
      <c r="I1091">
        <v>9.210813E-3</v>
      </c>
      <c r="J1091">
        <v>0</v>
      </c>
      <c r="K1091">
        <v>0</v>
      </c>
      <c r="L1091">
        <v>0</v>
      </c>
      <c r="M1091">
        <v>5</v>
      </c>
      <c r="N1091">
        <v>1.0008468340000001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W1091">
        <v>0</v>
      </c>
      <c r="X1091">
        <v>0</v>
      </c>
      <c r="Y1091">
        <v>0</v>
      </c>
      <c r="Z1091">
        <v>9.210813E-3</v>
      </c>
      <c r="AA1091">
        <v>0</v>
      </c>
      <c r="AB1091" t="s">
        <v>33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f t="shared" ref="AH1091:AH1154" si="17">IF(AF1091&lt;&gt;0,AF1091/AA1091,0)</f>
        <v>0</v>
      </c>
    </row>
    <row r="1092" spans="1:34" x14ac:dyDescent="0.25">
      <c r="A1092" s="1">
        <v>45113</v>
      </c>
      <c r="B1092">
        <v>565</v>
      </c>
      <c r="C1092">
        <v>-2.9209622000000001E-2</v>
      </c>
      <c r="D1092">
        <v>690</v>
      </c>
      <c r="E1092">
        <v>-1.0043042E-2</v>
      </c>
      <c r="F1092">
        <v>-1.9166579999999999E-2</v>
      </c>
      <c r="G1092">
        <v>1.9166579999999999E-2</v>
      </c>
      <c r="H1092">
        <v>1.5849334E-2</v>
      </c>
      <c r="I1092">
        <v>1.0317000999999999E-2</v>
      </c>
      <c r="J1092">
        <v>0</v>
      </c>
      <c r="K1092">
        <v>1</v>
      </c>
      <c r="L1092">
        <v>1</v>
      </c>
      <c r="M1092">
        <v>5</v>
      </c>
      <c r="N1092">
        <v>0.41989428899999998</v>
      </c>
      <c r="O1092">
        <v>3</v>
      </c>
      <c r="P1092">
        <v>-5</v>
      </c>
      <c r="Q1092">
        <v>8</v>
      </c>
      <c r="R1092">
        <v>-1695</v>
      </c>
      <c r="S1092">
        <v>3450</v>
      </c>
      <c r="T1092">
        <v>0</v>
      </c>
      <c r="U1092">
        <v>0</v>
      </c>
      <c r="V1092" t="s">
        <v>34</v>
      </c>
      <c r="W1092">
        <v>-1695</v>
      </c>
      <c r="X1092">
        <v>3450</v>
      </c>
      <c r="Y1092">
        <v>0</v>
      </c>
      <c r="Z1092">
        <v>1.5849334E-2</v>
      </c>
      <c r="AA1092">
        <v>5145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5145</v>
      </c>
      <c r="AH1092">
        <f t="shared" si="17"/>
        <v>0</v>
      </c>
    </row>
    <row r="1093" spans="1:34" x14ac:dyDescent="0.25">
      <c r="A1093" s="1">
        <v>45114</v>
      </c>
      <c r="B1093">
        <v>565</v>
      </c>
      <c r="C1093">
        <v>0</v>
      </c>
      <c r="D1093">
        <v>682</v>
      </c>
      <c r="E1093">
        <v>-1.1594203000000001E-2</v>
      </c>
      <c r="F1093">
        <v>1.1594203000000001E-2</v>
      </c>
      <c r="G1093">
        <v>1.1594203000000001E-2</v>
      </c>
      <c r="H1093">
        <v>1.5358826000000001E-2</v>
      </c>
      <c r="I1093">
        <v>1.0340822E-2</v>
      </c>
      <c r="J1093">
        <v>1</v>
      </c>
      <c r="K1093">
        <v>0</v>
      </c>
      <c r="L1093">
        <v>-1</v>
      </c>
      <c r="M1093">
        <v>5</v>
      </c>
      <c r="N1093" t="s">
        <v>36</v>
      </c>
      <c r="O1093">
        <v>-3</v>
      </c>
      <c r="P1093">
        <v>5</v>
      </c>
      <c r="Q1093">
        <v>8</v>
      </c>
      <c r="R1093">
        <v>1695</v>
      </c>
      <c r="S1093">
        <v>-3410</v>
      </c>
      <c r="T1093">
        <v>0</v>
      </c>
      <c r="U1093">
        <v>40</v>
      </c>
      <c r="V1093" t="s">
        <v>35</v>
      </c>
      <c r="W1093">
        <v>1695</v>
      </c>
      <c r="X1093">
        <v>-3410</v>
      </c>
      <c r="Y1093">
        <v>40</v>
      </c>
      <c r="Z1093">
        <v>1.5358826000000001E-2</v>
      </c>
      <c r="AA1093">
        <v>5105</v>
      </c>
      <c r="AB1093">
        <v>0</v>
      </c>
      <c r="AC1093">
        <v>40</v>
      </c>
      <c r="AD1093">
        <v>7.8354549999999999E-3</v>
      </c>
      <c r="AE1093">
        <v>0</v>
      </c>
      <c r="AF1093">
        <v>40</v>
      </c>
      <c r="AG1093">
        <v>0</v>
      </c>
      <c r="AH1093">
        <f t="shared" si="17"/>
        <v>7.8354554358472089E-3</v>
      </c>
    </row>
    <row r="1094" spans="1:34" x14ac:dyDescent="0.25">
      <c r="A1094" s="1">
        <v>45117</v>
      </c>
      <c r="B1094">
        <v>565</v>
      </c>
      <c r="C1094">
        <v>0</v>
      </c>
      <c r="D1094">
        <v>673</v>
      </c>
      <c r="E1094">
        <v>-1.3196480999999999E-2</v>
      </c>
      <c r="F1094">
        <v>1.3196480999999999E-2</v>
      </c>
      <c r="G1094">
        <v>1.3196480999999999E-2</v>
      </c>
      <c r="H1094">
        <v>1.4764184E-2</v>
      </c>
      <c r="I1094">
        <v>1.0738421999999999E-2</v>
      </c>
      <c r="J1094">
        <v>1</v>
      </c>
      <c r="K1094">
        <v>0</v>
      </c>
      <c r="L1094">
        <v>0</v>
      </c>
      <c r="M1094">
        <v>5</v>
      </c>
      <c r="N1094" t="s">
        <v>36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W1094">
        <v>0</v>
      </c>
      <c r="X1094">
        <v>0</v>
      </c>
      <c r="Y1094">
        <v>0</v>
      </c>
      <c r="Z1094">
        <v>1.4764184E-2</v>
      </c>
      <c r="AA1094">
        <v>0</v>
      </c>
      <c r="AB1094" t="s">
        <v>33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f t="shared" si="17"/>
        <v>0</v>
      </c>
    </row>
    <row r="1095" spans="1:34" x14ac:dyDescent="0.25">
      <c r="A1095" s="1">
        <v>45118</v>
      </c>
      <c r="B1095">
        <v>577</v>
      </c>
      <c r="C1095">
        <v>2.1238937999999999E-2</v>
      </c>
      <c r="D1095">
        <v>686</v>
      </c>
      <c r="E1095">
        <v>1.9316493000000001E-2</v>
      </c>
      <c r="F1095">
        <v>1.9224450000000001E-3</v>
      </c>
      <c r="G1095">
        <v>1.9224450000000001E-3</v>
      </c>
      <c r="H1095">
        <v>1.8001922E-2</v>
      </c>
      <c r="I1095">
        <v>1.3439664E-2</v>
      </c>
      <c r="J1095">
        <v>1</v>
      </c>
      <c r="K1095">
        <v>0</v>
      </c>
      <c r="L1095">
        <v>0</v>
      </c>
      <c r="M1095">
        <v>5</v>
      </c>
      <c r="N1095">
        <v>1.081293998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W1095">
        <v>0</v>
      </c>
      <c r="X1095">
        <v>0</v>
      </c>
      <c r="Y1095">
        <v>0</v>
      </c>
      <c r="Z1095">
        <v>1.8001922E-2</v>
      </c>
      <c r="AA1095">
        <v>0</v>
      </c>
      <c r="AB1095" t="s">
        <v>33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f t="shared" si="17"/>
        <v>0</v>
      </c>
    </row>
    <row r="1096" spans="1:34" x14ac:dyDescent="0.25">
      <c r="A1096" s="1">
        <v>45119</v>
      </c>
      <c r="B1096">
        <v>578</v>
      </c>
      <c r="C1096">
        <v>1.733102E-3</v>
      </c>
      <c r="D1096">
        <v>685</v>
      </c>
      <c r="E1096">
        <v>-1.4577259999999999E-3</v>
      </c>
      <c r="F1096">
        <v>3.1908280000000002E-3</v>
      </c>
      <c r="G1096">
        <v>3.1908280000000002E-3</v>
      </c>
      <c r="H1096">
        <v>1.8024405E-2</v>
      </c>
      <c r="I1096">
        <v>1.3482001E-2</v>
      </c>
      <c r="J1096">
        <v>1</v>
      </c>
      <c r="K1096">
        <v>0</v>
      </c>
      <c r="L1096">
        <v>0</v>
      </c>
      <c r="M1096">
        <v>5</v>
      </c>
      <c r="N1096">
        <v>0.99681469199999995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W1096">
        <v>0</v>
      </c>
      <c r="X1096">
        <v>0</v>
      </c>
      <c r="Y1096">
        <v>0</v>
      </c>
      <c r="Z1096">
        <v>1.8024405E-2</v>
      </c>
      <c r="AA1096">
        <v>0</v>
      </c>
      <c r="AB1096" t="s">
        <v>33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f t="shared" si="17"/>
        <v>0</v>
      </c>
    </row>
    <row r="1097" spans="1:34" x14ac:dyDescent="0.25">
      <c r="A1097" s="1">
        <v>45120</v>
      </c>
      <c r="B1097">
        <v>585</v>
      </c>
      <c r="C1097">
        <v>1.2110727E-2</v>
      </c>
      <c r="D1097">
        <v>680</v>
      </c>
      <c r="E1097">
        <v>-7.2992700000000001E-3</v>
      </c>
      <c r="F1097">
        <v>1.9409996999999998E-2</v>
      </c>
      <c r="G1097">
        <v>1.9409996999999998E-2</v>
      </c>
      <c r="H1097">
        <v>9.4154890000000008E-3</v>
      </c>
      <c r="I1097">
        <v>1.3196576999999999E-2</v>
      </c>
      <c r="J1097">
        <v>1</v>
      </c>
      <c r="K1097">
        <v>1</v>
      </c>
      <c r="L1097">
        <v>1</v>
      </c>
      <c r="M1097">
        <v>5</v>
      </c>
      <c r="N1097">
        <v>0.70058732800000001</v>
      </c>
      <c r="O1097">
        <v>-4</v>
      </c>
      <c r="P1097">
        <v>5</v>
      </c>
      <c r="Q1097">
        <v>9</v>
      </c>
      <c r="R1097">
        <v>2340</v>
      </c>
      <c r="S1097">
        <v>-3400</v>
      </c>
      <c r="T1097">
        <v>0</v>
      </c>
      <c r="U1097">
        <v>0</v>
      </c>
      <c r="V1097" t="s">
        <v>34</v>
      </c>
      <c r="W1097">
        <v>2340</v>
      </c>
      <c r="X1097">
        <v>-3400</v>
      </c>
      <c r="Y1097">
        <v>0</v>
      </c>
      <c r="Z1097">
        <v>1.3196576999999999E-2</v>
      </c>
      <c r="AA1097">
        <v>5740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5740</v>
      </c>
      <c r="AH1097">
        <f t="shared" si="17"/>
        <v>0</v>
      </c>
    </row>
    <row r="1098" spans="1:34" x14ac:dyDescent="0.25">
      <c r="A1098" s="1">
        <v>45121</v>
      </c>
      <c r="B1098">
        <v>591</v>
      </c>
      <c r="C1098">
        <v>1.0256410000000001E-2</v>
      </c>
      <c r="D1098">
        <v>692</v>
      </c>
      <c r="E1098">
        <v>1.7647059E-2</v>
      </c>
      <c r="F1098">
        <v>-7.390649E-3</v>
      </c>
      <c r="G1098">
        <v>7.390649E-3</v>
      </c>
      <c r="H1098">
        <v>8.5853300000000004E-3</v>
      </c>
      <c r="I1098">
        <v>1.4739713E-2</v>
      </c>
      <c r="J1098">
        <v>0</v>
      </c>
      <c r="K1098">
        <v>0</v>
      </c>
      <c r="L1098">
        <v>-1</v>
      </c>
      <c r="M1098">
        <v>5</v>
      </c>
      <c r="N1098">
        <v>2.0146312329999998</v>
      </c>
      <c r="O1098">
        <v>4</v>
      </c>
      <c r="P1098">
        <v>-5</v>
      </c>
      <c r="Q1098">
        <v>9</v>
      </c>
      <c r="R1098">
        <v>-2364</v>
      </c>
      <c r="S1098">
        <v>3460</v>
      </c>
      <c r="T1098">
        <v>-24</v>
      </c>
      <c r="U1098">
        <v>60</v>
      </c>
      <c r="V1098" t="s">
        <v>35</v>
      </c>
      <c r="W1098">
        <v>-2364</v>
      </c>
      <c r="X1098">
        <v>3460</v>
      </c>
      <c r="Y1098">
        <v>36</v>
      </c>
      <c r="Z1098">
        <v>1.4739713E-2</v>
      </c>
      <c r="AA1098">
        <v>5824</v>
      </c>
      <c r="AB1098">
        <v>0</v>
      </c>
      <c r="AC1098">
        <v>36</v>
      </c>
      <c r="AD1098">
        <v>6.1813190000000002E-3</v>
      </c>
      <c r="AE1098">
        <v>0</v>
      </c>
      <c r="AF1098">
        <v>36</v>
      </c>
      <c r="AG1098">
        <v>0</v>
      </c>
      <c r="AH1098">
        <f t="shared" si="17"/>
        <v>6.181318681318681E-3</v>
      </c>
    </row>
    <row r="1099" spans="1:34" x14ac:dyDescent="0.25">
      <c r="A1099" s="1">
        <v>45124</v>
      </c>
      <c r="B1099">
        <v>591</v>
      </c>
      <c r="C1099">
        <v>0</v>
      </c>
      <c r="D1099">
        <v>683</v>
      </c>
      <c r="E1099">
        <v>-1.300578E-2</v>
      </c>
      <c r="F1099">
        <v>1.300578E-2</v>
      </c>
      <c r="G1099">
        <v>1.300578E-2</v>
      </c>
      <c r="H1099">
        <v>8.5853300000000004E-3</v>
      </c>
      <c r="I1099">
        <v>1.4687474000000001E-2</v>
      </c>
      <c r="J1099">
        <v>1</v>
      </c>
      <c r="K1099">
        <v>0</v>
      </c>
      <c r="L1099">
        <v>0</v>
      </c>
      <c r="M1099">
        <v>5</v>
      </c>
      <c r="N1099" t="s">
        <v>36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W1099">
        <v>0</v>
      </c>
      <c r="X1099">
        <v>0</v>
      </c>
      <c r="Y1099">
        <v>0</v>
      </c>
      <c r="Z1099">
        <v>1.4687474000000001E-2</v>
      </c>
      <c r="AA1099">
        <v>0</v>
      </c>
      <c r="AB1099" t="s">
        <v>33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f t="shared" si="17"/>
        <v>0</v>
      </c>
    </row>
    <row r="1100" spans="1:34" x14ac:dyDescent="0.25">
      <c r="A1100" s="1">
        <v>45125</v>
      </c>
      <c r="B1100">
        <v>581</v>
      </c>
      <c r="C1100">
        <v>-1.6920474000000001E-2</v>
      </c>
      <c r="D1100">
        <v>683</v>
      </c>
      <c r="E1100">
        <v>0</v>
      </c>
      <c r="F1100">
        <v>-1.6920474000000001E-2</v>
      </c>
      <c r="G1100">
        <v>1.6920474000000001E-2</v>
      </c>
      <c r="H1100">
        <v>1.1520199E-2</v>
      </c>
      <c r="I1100">
        <v>1.1538906999999999E-2</v>
      </c>
      <c r="J1100">
        <v>0</v>
      </c>
      <c r="K1100">
        <v>0</v>
      </c>
      <c r="L1100">
        <v>0</v>
      </c>
      <c r="M1100">
        <v>5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W1100">
        <v>0</v>
      </c>
      <c r="X1100">
        <v>0</v>
      </c>
      <c r="Y1100">
        <v>0</v>
      </c>
      <c r="Z1100">
        <v>1.1538906999999999E-2</v>
      </c>
      <c r="AA1100">
        <v>0</v>
      </c>
      <c r="AB1100" t="s">
        <v>33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f t="shared" si="17"/>
        <v>0</v>
      </c>
    </row>
    <row r="1101" spans="1:34" x14ac:dyDescent="0.25">
      <c r="A1101" s="1">
        <v>45126</v>
      </c>
      <c r="B1101">
        <v>581</v>
      </c>
      <c r="C1101">
        <v>0</v>
      </c>
      <c r="D1101">
        <v>696</v>
      </c>
      <c r="E1101">
        <v>1.9033675E-2</v>
      </c>
      <c r="F1101">
        <v>-1.9033675E-2</v>
      </c>
      <c r="G1101">
        <v>1.9033675E-2</v>
      </c>
      <c r="H1101">
        <v>1.1535086E-2</v>
      </c>
      <c r="I1101">
        <v>1.4512895E-2</v>
      </c>
      <c r="J1101">
        <v>0</v>
      </c>
      <c r="K1101">
        <v>0</v>
      </c>
      <c r="L1101">
        <v>0</v>
      </c>
      <c r="M1101">
        <v>5</v>
      </c>
      <c r="N1101" t="s">
        <v>36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W1101">
        <v>0</v>
      </c>
      <c r="X1101">
        <v>0</v>
      </c>
      <c r="Y1101">
        <v>0</v>
      </c>
      <c r="Z1101">
        <v>1.4512895E-2</v>
      </c>
      <c r="AA1101">
        <v>0</v>
      </c>
      <c r="AB1101" t="s">
        <v>33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f t="shared" si="17"/>
        <v>0</v>
      </c>
    </row>
    <row r="1102" spans="1:34" x14ac:dyDescent="0.25">
      <c r="A1102" s="1">
        <v>45127</v>
      </c>
      <c r="B1102">
        <v>579</v>
      </c>
      <c r="C1102">
        <v>-3.4423409999999998E-3</v>
      </c>
      <c r="D1102">
        <v>692</v>
      </c>
      <c r="E1102">
        <v>-5.747126E-3</v>
      </c>
      <c r="F1102">
        <v>2.3047860000000001E-3</v>
      </c>
      <c r="G1102">
        <v>2.3047860000000001E-3</v>
      </c>
      <c r="H1102">
        <v>9.7841479999999995E-3</v>
      </c>
      <c r="I1102">
        <v>1.4244278000000001E-2</v>
      </c>
      <c r="J1102">
        <v>1</v>
      </c>
      <c r="K1102">
        <v>0</v>
      </c>
      <c r="L1102">
        <v>0</v>
      </c>
      <c r="M1102">
        <v>5</v>
      </c>
      <c r="N1102">
        <v>1.9953745060000001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W1102">
        <v>0</v>
      </c>
      <c r="X1102">
        <v>0</v>
      </c>
      <c r="Y1102">
        <v>0</v>
      </c>
      <c r="Z1102">
        <v>1.4244278000000001E-2</v>
      </c>
      <c r="AA1102">
        <v>0</v>
      </c>
      <c r="AB1102" t="s">
        <v>33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f t="shared" si="17"/>
        <v>0</v>
      </c>
    </row>
    <row r="1103" spans="1:34" x14ac:dyDescent="0.25">
      <c r="A1103" s="1">
        <v>45128</v>
      </c>
      <c r="B1103">
        <v>560</v>
      </c>
      <c r="C1103">
        <v>-3.2815199000000003E-2</v>
      </c>
      <c r="D1103">
        <v>682</v>
      </c>
      <c r="E1103">
        <v>-1.4450866999999999E-2</v>
      </c>
      <c r="F1103">
        <v>-1.8364332000000001E-2</v>
      </c>
      <c r="G1103">
        <v>1.8364332000000001E-2</v>
      </c>
      <c r="H1103">
        <v>1.4225059E-2</v>
      </c>
      <c r="I1103">
        <v>1.3538184999999999E-2</v>
      </c>
      <c r="J1103">
        <v>0</v>
      </c>
      <c r="K1103">
        <v>1</v>
      </c>
      <c r="L1103">
        <v>1</v>
      </c>
      <c r="M1103">
        <v>5</v>
      </c>
      <c r="N1103">
        <v>0.53630916200000001</v>
      </c>
      <c r="O1103">
        <v>3</v>
      </c>
      <c r="P1103">
        <v>-5</v>
      </c>
      <c r="Q1103">
        <v>8</v>
      </c>
      <c r="R1103">
        <v>-1680</v>
      </c>
      <c r="S1103">
        <v>3410</v>
      </c>
      <c r="T1103">
        <v>0</v>
      </c>
      <c r="U1103">
        <v>0</v>
      </c>
      <c r="V1103" t="s">
        <v>34</v>
      </c>
      <c r="W1103">
        <v>-1680</v>
      </c>
      <c r="X1103">
        <v>3410</v>
      </c>
      <c r="Y1103">
        <v>0</v>
      </c>
      <c r="Z1103">
        <v>1.4225059E-2</v>
      </c>
      <c r="AA1103">
        <v>5090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5090</v>
      </c>
      <c r="AH1103">
        <f t="shared" si="17"/>
        <v>0</v>
      </c>
    </row>
    <row r="1104" spans="1:34" x14ac:dyDescent="0.25">
      <c r="A1104" s="1">
        <v>45131</v>
      </c>
      <c r="B1104">
        <v>558</v>
      </c>
      <c r="C1104">
        <v>-3.5714290000000001E-3</v>
      </c>
      <c r="D1104">
        <v>675</v>
      </c>
      <c r="E1104">
        <v>-1.0263929999999999E-2</v>
      </c>
      <c r="F1104">
        <v>6.692501E-3</v>
      </c>
      <c r="G1104">
        <v>6.692501E-3</v>
      </c>
      <c r="H1104">
        <v>1.3634925000000001E-2</v>
      </c>
      <c r="I1104">
        <v>1.3070626E-2</v>
      </c>
      <c r="J1104">
        <v>1</v>
      </c>
      <c r="K1104">
        <v>0</v>
      </c>
      <c r="L1104">
        <v>-1</v>
      </c>
      <c r="M1104">
        <v>5</v>
      </c>
      <c r="N1104">
        <v>3.4764922899999999</v>
      </c>
      <c r="O1104">
        <v>-3</v>
      </c>
      <c r="P1104">
        <v>5</v>
      </c>
      <c r="Q1104">
        <v>8</v>
      </c>
      <c r="R1104">
        <v>1674</v>
      </c>
      <c r="S1104">
        <v>-3375</v>
      </c>
      <c r="T1104">
        <v>-6</v>
      </c>
      <c r="U1104">
        <v>35</v>
      </c>
      <c r="V1104" t="s">
        <v>35</v>
      </c>
      <c r="W1104">
        <v>1674</v>
      </c>
      <c r="X1104">
        <v>-3375</v>
      </c>
      <c r="Y1104">
        <v>29</v>
      </c>
      <c r="Z1104">
        <v>1.3634925000000001E-2</v>
      </c>
      <c r="AA1104">
        <v>5049</v>
      </c>
      <c r="AB1104">
        <v>0</v>
      </c>
      <c r="AC1104">
        <v>29</v>
      </c>
      <c r="AD1104">
        <v>5.7437119999999998E-3</v>
      </c>
      <c r="AE1104">
        <v>0</v>
      </c>
      <c r="AF1104">
        <v>29</v>
      </c>
      <c r="AG1104">
        <v>0</v>
      </c>
      <c r="AH1104">
        <f t="shared" si="17"/>
        <v>5.7437116260645668E-3</v>
      </c>
    </row>
    <row r="1105" spans="1:34" x14ac:dyDescent="0.25">
      <c r="A1105" s="1">
        <v>45132</v>
      </c>
      <c r="B1105">
        <v>569</v>
      </c>
      <c r="C1105">
        <v>1.9713261999999999E-2</v>
      </c>
      <c r="D1105">
        <v>665</v>
      </c>
      <c r="E1105">
        <v>-1.4814815E-2</v>
      </c>
      <c r="F1105">
        <v>3.4528075999999998E-2</v>
      </c>
      <c r="G1105">
        <v>3.4528075999999998E-2</v>
      </c>
      <c r="H1105">
        <v>1.8769166E-2</v>
      </c>
      <c r="I1105">
        <v>1.4064362E-2</v>
      </c>
      <c r="J1105">
        <v>1</v>
      </c>
      <c r="K1105">
        <v>1</v>
      </c>
      <c r="L1105">
        <v>1</v>
      </c>
      <c r="M1105">
        <v>5</v>
      </c>
      <c r="N1105">
        <v>0.87830856899999998</v>
      </c>
      <c r="O1105">
        <v>-5</v>
      </c>
      <c r="P1105">
        <v>5</v>
      </c>
      <c r="Q1105">
        <v>10</v>
      </c>
      <c r="R1105">
        <v>2845</v>
      </c>
      <c r="S1105">
        <v>-3325</v>
      </c>
      <c r="T1105">
        <v>0</v>
      </c>
      <c r="U1105">
        <v>0</v>
      </c>
      <c r="V1105" t="s">
        <v>34</v>
      </c>
      <c r="W1105">
        <v>2845</v>
      </c>
      <c r="X1105">
        <v>-3325</v>
      </c>
      <c r="Y1105">
        <v>0</v>
      </c>
      <c r="Z1105">
        <v>1.8769166E-2</v>
      </c>
      <c r="AA1105">
        <v>6170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6170</v>
      </c>
      <c r="AH1105">
        <f t="shared" si="17"/>
        <v>0</v>
      </c>
    </row>
    <row r="1106" spans="1:34" x14ac:dyDescent="0.25">
      <c r="A1106" s="1">
        <v>45133</v>
      </c>
      <c r="B1106">
        <v>566</v>
      </c>
      <c r="C1106">
        <v>-5.2724080000000001E-3</v>
      </c>
      <c r="D1106">
        <v>655</v>
      </c>
      <c r="E1106">
        <v>-1.5037594E-2</v>
      </c>
      <c r="F1106">
        <v>9.7651860000000004E-3</v>
      </c>
      <c r="G1106">
        <v>9.7651860000000004E-3</v>
      </c>
      <c r="H1106">
        <v>1.8634254999999999E-2</v>
      </c>
      <c r="I1106">
        <v>4.0388589999999997E-3</v>
      </c>
      <c r="J1106">
        <v>1</v>
      </c>
      <c r="K1106">
        <v>1</v>
      </c>
      <c r="L1106">
        <v>0</v>
      </c>
      <c r="M1106">
        <v>5</v>
      </c>
      <c r="N1106">
        <v>3.3006101829999999</v>
      </c>
      <c r="O1106">
        <v>5</v>
      </c>
      <c r="P1106">
        <v>-5</v>
      </c>
      <c r="Q1106">
        <v>10</v>
      </c>
      <c r="R1106">
        <v>-2830</v>
      </c>
      <c r="S1106">
        <v>3275</v>
      </c>
      <c r="T1106">
        <v>15</v>
      </c>
      <c r="U1106">
        <v>-50</v>
      </c>
      <c r="V1106" t="s">
        <v>37</v>
      </c>
      <c r="W1106">
        <v>0</v>
      </c>
      <c r="X1106">
        <v>0</v>
      </c>
      <c r="Y1106">
        <v>0</v>
      </c>
      <c r="Z1106">
        <v>1.8634254999999999E-2</v>
      </c>
      <c r="AA1106">
        <v>6105</v>
      </c>
      <c r="AB1106">
        <v>0</v>
      </c>
      <c r="AC1106">
        <v>-35</v>
      </c>
      <c r="AD1106">
        <v>-5.7330059999999997E-3</v>
      </c>
      <c r="AE1106">
        <v>0</v>
      </c>
      <c r="AF1106">
        <v>0</v>
      </c>
      <c r="AG1106">
        <v>0</v>
      </c>
      <c r="AH1106">
        <f t="shared" si="17"/>
        <v>0</v>
      </c>
    </row>
    <row r="1107" spans="1:34" x14ac:dyDescent="0.25">
      <c r="A1107" s="1">
        <v>45134</v>
      </c>
      <c r="B1107">
        <v>569</v>
      </c>
      <c r="C1107">
        <v>5.3003529999999998E-3</v>
      </c>
      <c r="D1107">
        <v>658</v>
      </c>
      <c r="E1107">
        <v>4.580153E-3</v>
      </c>
      <c r="F1107">
        <v>7.2020099999999996E-4</v>
      </c>
      <c r="G1107">
        <v>7.2020099999999996E-4</v>
      </c>
      <c r="H1107">
        <v>1.9226824E-2</v>
      </c>
      <c r="I1107">
        <v>8.381833E-3</v>
      </c>
      <c r="J1107">
        <v>1</v>
      </c>
      <c r="K1107">
        <v>1</v>
      </c>
      <c r="L1107">
        <v>0</v>
      </c>
      <c r="M1107">
        <v>5</v>
      </c>
      <c r="N1107">
        <v>0.99928359700000002</v>
      </c>
      <c r="O1107">
        <v>5</v>
      </c>
      <c r="P1107">
        <v>-5</v>
      </c>
      <c r="Q1107">
        <v>10</v>
      </c>
      <c r="R1107">
        <v>-2845</v>
      </c>
      <c r="S1107">
        <v>3290</v>
      </c>
      <c r="T1107">
        <v>0</v>
      </c>
      <c r="U1107">
        <v>-35</v>
      </c>
      <c r="V1107" t="s">
        <v>37</v>
      </c>
      <c r="W1107">
        <v>0</v>
      </c>
      <c r="X1107">
        <v>0</v>
      </c>
      <c r="Y1107">
        <v>0</v>
      </c>
      <c r="Z1107">
        <v>1.9226824E-2</v>
      </c>
      <c r="AA1107">
        <v>6135</v>
      </c>
      <c r="AB1107">
        <v>0</v>
      </c>
      <c r="AC1107">
        <v>-35</v>
      </c>
      <c r="AD1107">
        <v>-5.7049709999999997E-3</v>
      </c>
      <c r="AE1107">
        <v>0</v>
      </c>
      <c r="AF1107">
        <v>0</v>
      </c>
      <c r="AG1107">
        <v>0</v>
      </c>
      <c r="AH1107">
        <f t="shared" si="17"/>
        <v>0</v>
      </c>
    </row>
    <row r="1108" spans="1:34" x14ac:dyDescent="0.25">
      <c r="A1108" s="1">
        <v>45135</v>
      </c>
      <c r="B1108">
        <v>567</v>
      </c>
      <c r="C1108">
        <v>-3.514938E-3</v>
      </c>
      <c r="D1108">
        <v>658</v>
      </c>
      <c r="E1108">
        <v>0</v>
      </c>
      <c r="F1108">
        <v>-3.514938E-3</v>
      </c>
      <c r="G1108">
        <v>3.514938E-3</v>
      </c>
      <c r="H1108">
        <v>1.0459273999999999E-2</v>
      </c>
      <c r="I1108">
        <v>8.9354619999999999E-3</v>
      </c>
      <c r="J1108">
        <v>0</v>
      </c>
      <c r="K1108">
        <v>0</v>
      </c>
      <c r="L1108">
        <v>-1</v>
      </c>
      <c r="M1108">
        <v>5</v>
      </c>
      <c r="N1108">
        <v>0</v>
      </c>
      <c r="O1108">
        <v>5</v>
      </c>
      <c r="P1108">
        <v>-5</v>
      </c>
      <c r="Q1108">
        <v>10</v>
      </c>
      <c r="R1108">
        <v>-2835</v>
      </c>
      <c r="S1108">
        <v>3290</v>
      </c>
      <c r="T1108">
        <v>10</v>
      </c>
      <c r="U1108">
        <v>-35</v>
      </c>
      <c r="V1108" t="s">
        <v>35</v>
      </c>
      <c r="W1108">
        <v>-2835</v>
      </c>
      <c r="X1108">
        <v>3290</v>
      </c>
      <c r="Y1108">
        <v>-25</v>
      </c>
      <c r="Z1108">
        <v>1.0459273999999999E-2</v>
      </c>
      <c r="AA1108">
        <v>6125</v>
      </c>
      <c r="AB1108">
        <v>0</v>
      </c>
      <c r="AC1108">
        <v>-25</v>
      </c>
      <c r="AD1108">
        <v>-4.0816330000000003E-3</v>
      </c>
      <c r="AE1108">
        <v>0</v>
      </c>
      <c r="AF1108">
        <v>-25</v>
      </c>
      <c r="AG1108">
        <v>0</v>
      </c>
      <c r="AH1108">
        <f t="shared" si="17"/>
        <v>-4.0816326530612249E-3</v>
      </c>
    </row>
    <row r="1109" spans="1:34" x14ac:dyDescent="0.25">
      <c r="A1109" s="1">
        <v>45138</v>
      </c>
      <c r="B1109">
        <v>565</v>
      </c>
      <c r="C1109">
        <v>-3.5273370000000002E-3</v>
      </c>
      <c r="D1109">
        <v>690</v>
      </c>
      <c r="E1109">
        <v>4.8632218999999997E-2</v>
      </c>
      <c r="F1109">
        <v>-5.2159556000000003E-2</v>
      </c>
      <c r="G1109">
        <v>5.2159556000000003E-2</v>
      </c>
      <c r="H1109">
        <v>1.0452859E-2</v>
      </c>
      <c r="I1109">
        <v>2.6088987000000001E-2</v>
      </c>
      <c r="J1109">
        <v>0</v>
      </c>
      <c r="K1109">
        <v>1</v>
      </c>
      <c r="L1109">
        <v>1</v>
      </c>
      <c r="M1109">
        <v>5</v>
      </c>
      <c r="N1109">
        <v>16.83750706</v>
      </c>
      <c r="O1109">
        <v>85</v>
      </c>
      <c r="P1109">
        <v>-5</v>
      </c>
      <c r="Q1109">
        <v>90</v>
      </c>
      <c r="R1109">
        <v>-48025</v>
      </c>
      <c r="S1109">
        <v>3450</v>
      </c>
      <c r="T1109">
        <v>0</v>
      </c>
      <c r="U1109">
        <v>0</v>
      </c>
      <c r="V1109" t="s">
        <v>34</v>
      </c>
      <c r="W1109">
        <v>-48025</v>
      </c>
      <c r="X1109">
        <v>3450</v>
      </c>
      <c r="Y1109">
        <v>0</v>
      </c>
      <c r="Z1109">
        <v>2.6088987000000001E-2</v>
      </c>
      <c r="AA1109">
        <v>51475</v>
      </c>
      <c r="AB1109">
        <v>0.01</v>
      </c>
      <c r="AC1109">
        <v>0</v>
      </c>
      <c r="AD1109">
        <v>0</v>
      </c>
      <c r="AE1109">
        <v>0</v>
      </c>
      <c r="AF1109">
        <v>0</v>
      </c>
      <c r="AG1109">
        <v>51475</v>
      </c>
      <c r="AH1109">
        <f t="shared" si="17"/>
        <v>0</v>
      </c>
    </row>
    <row r="1110" spans="1:34" x14ac:dyDescent="0.25">
      <c r="A1110" s="1">
        <v>45139</v>
      </c>
      <c r="B1110">
        <v>567</v>
      </c>
      <c r="C1110">
        <v>3.5398230000000001E-3</v>
      </c>
      <c r="D1110">
        <v>713</v>
      </c>
      <c r="E1110">
        <v>3.3333333E-2</v>
      </c>
      <c r="F1110">
        <v>-2.9793509999999999E-2</v>
      </c>
      <c r="G1110">
        <v>2.9793509999999999E-2</v>
      </c>
      <c r="H1110">
        <v>4.7645789999999997E-3</v>
      </c>
      <c r="I1110">
        <v>2.5983788000000001E-2</v>
      </c>
      <c r="J1110">
        <v>0</v>
      </c>
      <c r="K1110">
        <v>1</v>
      </c>
      <c r="L1110">
        <v>0</v>
      </c>
      <c r="M1110">
        <v>5</v>
      </c>
      <c r="N1110">
        <v>11.84141681</v>
      </c>
      <c r="O1110">
        <v>-85</v>
      </c>
      <c r="P1110">
        <v>5</v>
      </c>
      <c r="Q1110">
        <v>90</v>
      </c>
      <c r="R1110">
        <v>48195</v>
      </c>
      <c r="S1110">
        <v>-3565</v>
      </c>
      <c r="T1110">
        <v>170</v>
      </c>
      <c r="U1110">
        <v>-115</v>
      </c>
      <c r="V1110" t="s">
        <v>37</v>
      </c>
      <c r="W1110">
        <v>0</v>
      </c>
      <c r="X1110">
        <v>0</v>
      </c>
      <c r="Y1110">
        <v>0</v>
      </c>
      <c r="Z1110">
        <v>2.5983788000000001E-2</v>
      </c>
      <c r="AA1110">
        <v>51760</v>
      </c>
      <c r="AB1110">
        <v>0.01</v>
      </c>
      <c r="AC1110">
        <v>55</v>
      </c>
      <c r="AD1110">
        <v>1.062597E-3</v>
      </c>
      <c r="AE1110">
        <v>0</v>
      </c>
      <c r="AF1110">
        <v>0</v>
      </c>
      <c r="AG1110">
        <v>0</v>
      </c>
      <c r="AH1110">
        <f t="shared" si="17"/>
        <v>0</v>
      </c>
    </row>
    <row r="1111" spans="1:34" x14ac:dyDescent="0.25">
      <c r="A1111" s="1">
        <v>45140</v>
      </c>
      <c r="B1111">
        <v>561</v>
      </c>
      <c r="C1111">
        <v>-1.0582011000000001E-2</v>
      </c>
      <c r="D1111">
        <v>709</v>
      </c>
      <c r="E1111">
        <v>-5.610098E-3</v>
      </c>
      <c r="F1111">
        <v>-4.9719120000000002E-3</v>
      </c>
      <c r="G1111">
        <v>4.9719120000000002E-3</v>
      </c>
      <c r="H1111">
        <v>6.363329E-3</v>
      </c>
      <c r="I1111">
        <v>2.3550692000000002E-2</v>
      </c>
      <c r="J1111">
        <v>0</v>
      </c>
      <c r="K1111">
        <v>1</v>
      </c>
      <c r="L1111">
        <v>0</v>
      </c>
      <c r="M1111">
        <v>5</v>
      </c>
      <c r="N1111">
        <v>0.67001672499999998</v>
      </c>
      <c r="O1111">
        <v>-85</v>
      </c>
      <c r="P1111">
        <v>5</v>
      </c>
      <c r="Q1111">
        <v>90</v>
      </c>
      <c r="R1111">
        <v>47685</v>
      </c>
      <c r="S1111">
        <v>-3545</v>
      </c>
      <c r="T1111">
        <v>-340</v>
      </c>
      <c r="U1111">
        <v>-95</v>
      </c>
      <c r="V1111" t="s">
        <v>37</v>
      </c>
      <c r="W1111">
        <v>0</v>
      </c>
      <c r="X1111">
        <v>0</v>
      </c>
      <c r="Y1111">
        <v>0</v>
      </c>
      <c r="Z1111">
        <v>2.3550692000000002E-2</v>
      </c>
      <c r="AA1111">
        <v>51230</v>
      </c>
      <c r="AB1111">
        <v>0.01</v>
      </c>
      <c r="AC1111">
        <v>-435</v>
      </c>
      <c r="AD1111">
        <v>-8.4911180000000006E-3</v>
      </c>
      <c r="AE1111">
        <v>0</v>
      </c>
      <c r="AF1111">
        <v>0</v>
      </c>
      <c r="AG1111">
        <v>0</v>
      </c>
      <c r="AH1111">
        <f t="shared" si="17"/>
        <v>0</v>
      </c>
    </row>
    <row r="1112" spans="1:34" x14ac:dyDescent="0.25">
      <c r="A1112" s="1">
        <v>45142</v>
      </c>
      <c r="B1112">
        <v>554</v>
      </c>
      <c r="C1112">
        <v>-1.2477718E-2</v>
      </c>
      <c r="D1112">
        <v>706</v>
      </c>
      <c r="E1112">
        <v>-4.2313120000000001E-3</v>
      </c>
      <c r="F1112">
        <v>-8.2464070000000007E-3</v>
      </c>
      <c r="G1112">
        <v>8.2464070000000007E-3</v>
      </c>
      <c r="H1112">
        <v>6.4009720000000004E-3</v>
      </c>
      <c r="I1112">
        <v>2.4925902999999999E-2</v>
      </c>
      <c r="J1112">
        <v>0</v>
      </c>
      <c r="K1112">
        <v>1</v>
      </c>
      <c r="L1112">
        <v>0</v>
      </c>
      <c r="M1112">
        <v>5</v>
      </c>
      <c r="N1112">
        <v>0.43215025800000001</v>
      </c>
      <c r="O1112">
        <v>-85</v>
      </c>
      <c r="P1112">
        <v>5</v>
      </c>
      <c r="Q1112">
        <v>90</v>
      </c>
      <c r="R1112">
        <v>47090</v>
      </c>
      <c r="S1112">
        <v>-3530</v>
      </c>
      <c r="T1112">
        <v>-935</v>
      </c>
      <c r="U1112">
        <v>-80</v>
      </c>
      <c r="V1112" t="s">
        <v>37</v>
      </c>
      <c r="W1112">
        <v>0</v>
      </c>
      <c r="X1112">
        <v>0</v>
      </c>
      <c r="Y1112">
        <v>0</v>
      </c>
      <c r="Z1112">
        <v>2.4925902999999999E-2</v>
      </c>
      <c r="AA1112">
        <v>50620</v>
      </c>
      <c r="AB1112">
        <v>0.01</v>
      </c>
      <c r="AC1112">
        <v>-1015</v>
      </c>
      <c r="AD1112">
        <v>-2.0051362999999999E-2</v>
      </c>
      <c r="AE1112">
        <v>0</v>
      </c>
      <c r="AF1112">
        <v>0</v>
      </c>
      <c r="AG1112">
        <v>0</v>
      </c>
      <c r="AH1112">
        <f t="shared" si="17"/>
        <v>0</v>
      </c>
    </row>
    <row r="1113" spans="1:34" x14ac:dyDescent="0.25">
      <c r="A1113" s="1">
        <v>45145</v>
      </c>
      <c r="B1113">
        <v>558</v>
      </c>
      <c r="C1113">
        <v>7.2202170000000001E-3</v>
      </c>
      <c r="D1113">
        <v>706</v>
      </c>
      <c r="E1113">
        <v>0</v>
      </c>
      <c r="F1113">
        <v>7.2202170000000001E-3</v>
      </c>
      <c r="G1113">
        <v>7.2202170000000001E-3</v>
      </c>
      <c r="H1113">
        <v>8.5830860000000002E-3</v>
      </c>
      <c r="I1113">
        <v>2.4925902999999999E-2</v>
      </c>
      <c r="J1113">
        <v>1</v>
      </c>
      <c r="K1113">
        <v>0</v>
      </c>
      <c r="L1113">
        <v>-1</v>
      </c>
      <c r="M1113">
        <v>5</v>
      </c>
      <c r="N1113">
        <v>0</v>
      </c>
      <c r="O1113">
        <v>-85</v>
      </c>
      <c r="P1113">
        <v>5</v>
      </c>
      <c r="Q1113">
        <v>90</v>
      </c>
      <c r="R1113">
        <v>47430</v>
      </c>
      <c r="S1113">
        <v>-3530</v>
      </c>
      <c r="T1113">
        <v>-595</v>
      </c>
      <c r="U1113">
        <v>-80</v>
      </c>
      <c r="V1113" t="s">
        <v>35</v>
      </c>
      <c r="W1113">
        <v>47430</v>
      </c>
      <c r="X1113">
        <v>-3530</v>
      </c>
      <c r="Y1113">
        <v>-675</v>
      </c>
      <c r="Z1113">
        <v>2.4925902999999999E-2</v>
      </c>
      <c r="AA1113">
        <v>50960</v>
      </c>
      <c r="AB1113">
        <v>0.01</v>
      </c>
      <c r="AC1113">
        <v>-675</v>
      </c>
      <c r="AD1113">
        <v>-1.3245682999999999E-2</v>
      </c>
      <c r="AE1113">
        <v>0</v>
      </c>
      <c r="AF1113">
        <v>-675</v>
      </c>
      <c r="AG1113">
        <v>0</v>
      </c>
      <c r="AH1113">
        <f t="shared" si="17"/>
        <v>-1.3245682888540031E-2</v>
      </c>
    </row>
    <row r="1114" spans="1:34" x14ac:dyDescent="0.25">
      <c r="A1114" s="1">
        <v>45146</v>
      </c>
      <c r="B1114">
        <v>552</v>
      </c>
      <c r="C1114">
        <v>-1.0752688E-2</v>
      </c>
      <c r="D1114">
        <v>690</v>
      </c>
      <c r="E1114">
        <v>-2.2662890000000002E-2</v>
      </c>
      <c r="F1114">
        <v>1.1910201E-2</v>
      </c>
      <c r="G1114">
        <v>1.1910201E-2</v>
      </c>
      <c r="H1114">
        <v>9.2421880000000001E-3</v>
      </c>
      <c r="I1114">
        <v>2.0457012E-2</v>
      </c>
      <c r="J1114">
        <v>1</v>
      </c>
      <c r="K1114">
        <v>0</v>
      </c>
      <c r="L1114">
        <v>0</v>
      </c>
      <c r="M1114">
        <v>5</v>
      </c>
      <c r="N1114">
        <v>2.634560907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W1114">
        <v>0</v>
      </c>
      <c r="X1114">
        <v>0</v>
      </c>
      <c r="Y1114">
        <v>0</v>
      </c>
      <c r="Z1114">
        <v>2.0457012E-2</v>
      </c>
      <c r="AA1114">
        <v>0</v>
      </c>
      <c r="AB1114" t="s">
        <v>33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f t="shared" si="17"/>
        <v>0</v>
      </c>
    </row>
    <row r="1115" spans="1:34" x14ac:dyDescent="0.25">
      <c r="A1115" s="1">
        <v>45147</v>
      </c>
      <c r="B1115">
        <v>554</v>
      </c>
      <c r="C1115">
        <v>3.6231879999999998E-3</v>
      </c>
      <c r="D1115">
        <v>701</v>
      </c>
      <c r="E1115">
        <v>1.5942029E-2</v>
      </c>
      <c r="F1115">
        <v>-1.2318841000000001E-2</v>
      </c>
      <c r="G1115">
        <v>1.2318841000000001E-2</v>
      </c>
      <c r="H1115">
        <v>9.2606240000000003E-3</v>
      </c>
      <c r="I1115">
        <v>1.3804621E-2</v>
      </c>
      <c r="J1115">
        <v>0</v>
      </c>
      <c r="K1115">
        <v>0</v>
      </c>
      <c r="L1115">
        <v>0</v>
      </c>
      <c r="M1115">
        <v>5</v>
      </c>
      <c r="N1115">
        <v>5.5675090249999997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W1115">
        <v>0</v>
      </c>
      <c r="X1115">
        <v>0</v>
      </c>
      <c r="Y1115">
        <v>0</v>
      </c>
      <c r="Z1115">
        <v>1.3804621E-2</v>
      </c>
      <c r="AA1115">
        <v>0</v>
      </c>
      <c r="AB1115" t="s">
        <v>33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f t="shared" si="17"/>
        <v>0</v>
      </c>
    </row>
    <row r="1116" spans="1:34" x14ac:dyDescent="0.25">
      <c r="A1116" s="1">
        <v>45148</v>
      </c>
      <c r="B1116">
        <v>551</v>
      </c>
      <c r="C1116">
        <v>-5.4151620000000003E-3</v>
      </c>
      <c r="D1116">
        <v>693</v>
      </c>
      <c r="E1116">
        <v>-1.1412268E-2</v>
      </c>
      <c r="F1116">
        <v>5.9971060000000003E-3</v>
      </c>
      <c r="G1116">
        <v>5.9971060000000003E-3</v>
      </c>
      <c r="H1116">
        <v>8.696456E-3</v>
      </c>
      <c r="I1116">
        <v>1.4281676E-2</v>
      </c>
      <c r="J1116">
        <v>1</v>
      </c>
      <c r="K1116">
        <v>0</v>
      </c>
      <c r="L1116">
        <v>0</v>
      </c>
      <c r="M1116">
        <v>5</v>
      </c>
      <c r="N1116">
        <v>2.6505873119999999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W1116">
        <v>0</v>
      </c>
      <c r="X1116">
        <v>0</v>
      </c>
      <c r="Y1116">
        <v>0</v>
      </c>
      <c r="Z1116">
        <v>1.4281676E-2</v>
      </c>
      <c r="AA1116">
        <v>0</v>
      </c>
      <c r="AB1116" t="s">
        <v>33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f t="shared" si="17"/>
        <v>0</v>
      </c>
    </row>
    <row r="1117" spans="1:34" x14ac:dyDescent="0.25">
      <c r="A1117" s="1">
        <v>45149</v>
      </c>
      <c r="B1117">
        <v>546</v>
      </c>
      <c r="C1117">
        <v>-9.0744099999999998E-3</v>
      </c>
      <c r="D1117">
        <v>679</v>
      </c>
      <c r="E1117">
        <v>-2.0202020000000001E-2</v>
      </c>
      <c r="F1117">
        <v>1.112761E-2</v>
      </c>
      <c r="G1117">
        <v>1.112761E-2</v>
      </c>
      <c r="H1117">
        <v>7.9227970000000005E-3</v>
      </c>
      <c r="I1117">
        <v>1.5907542E-2</v>
      </c>
      <c r="J1117">
        <v>1</v>
      </c>
      <c r="K1117">
        <v>0</v>
      </c>
      <c r="L1117">
        <v>0</v>
      </c>
      <c r="M1117">
        <v>5</v>
      </c>
      <c r="N1117">
        <v>2.7685573689999998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W1117">
        <v>0</v>
      </c>
      <c r="X1117">
        <v>0</v>
      </c>
      <c r="Y1117">
        <v>0</v>
      </c>
      <c r="Z1117">
        <v>1.5907542E-2</v>
      </c>
      <c r="AA1117">
        <v>0</v>
      </c>
      <c r="AB1117" t="s">
        <v>33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f t="shared" si="17"/>
        <v>0</v>
      </c>
    </row>
    <row r="1118" spans="1:34" x14ac:dyDescent="0.25">
      <c r="A1118" s="1">
        <v>45152</v>
      </c>
      <c r="B1118">
        <v>541</v>
      </c>
      <c r="C1118">
        <v>-9.1575089999999994E-3</v>
      </c>
      <c r="D1118">
        <v>672</v>
      </c>
      <c r="E1118">
        <v>-1.0309278E-2</v>
      </c>
      <c r="F1118">
        <v>1.151769E-3</v>
      </c>
      <c r="G1118">
        <v>1.151769E-3</v>
      </c>
      <c r="H1118">
        <v>5.8059690000000002E-3</v>
      </c>
      <c r="I1118">
        <v>1.5322708000000001E-2</v>
      </c>
      <c r="J1118">
        <v>1</v>
      </c>
      <c r="K1118">
        <v>0</v>
      </c>
      <c r="L1118">
        <v>0</v>
      </c>
      <c r="M1118">
        <v>5</v>
      </c>
      <c r="N1118">
        <v>1.39837262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W1118">
        <v>0</v>
      </c>
      <c r="X1118">
        <v>0</v>
      </c>
      <c r="Y1118">
        <v>0</v>
      </c>
      <c r="Z1118">
        <v>1.5322708000000001E-2</v>
      </c>
      <c r="AA1118">
        <v>0</v>
      </c>
      <c r="AB1118" t="s">
        <v>33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f t="shared" si="17"/>
        <v>0</v>
      </c>
    </row>
    <row r="1119" spans="1:34" x14ac:dyDescent="0.25">
      <c r="A1119" s="1">
        <v>45153</v>
      </c>
      <c r="B1119">
        <v>542</v>
      </c>
      <c r="C1119">
        <v>1.848429E-3</v>
      </c>
      <c r="D1119">
        <v>678</v>
      </c>
      <c r="E1119">
        <v>8.9285709999999997E-3</v>
      </c>
      <c r="F1119">
        <v>-7.0801429999999997E-3</v>
      </c>
      <c r="G1119">
        <v>7.0801429999999997E-3</v>
      </c>
      <c r="H1119">
        <v>6.0415970000000001E-3</v>
      </c>
      <c r="I1119">
        <v>1.5168633000000001E-2</v>
      </c>
      <c r="J1119">
        <v>0</v>
      </c>
      <c r="K1119">
        <v>0</v>
      </c>
      <c r="L1119">
        <v>0</v>
      </c>
      <c r="M1119">
        <v>5</v>
      </c>
      <c r="N1119">
        <v>6.0424024779999996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W1119">
        <v>0</v>
      </c>
      <c r="X1119">
        <v>0</v>
      </c>
      <c r="Y1119">
        <v>0</v>
      </c>
      <c r="Z1119">
        <v>1.5168633000000001E-2</v>
      </c>
      <c r="AA1119">
        <v>0</v>
      </c>
      <c r="AB1119" t="s">
        <v>33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f t="shared" si="17"/>
        <v>0</v>
      </c>
    </row>
    <row r="1120" spans="1:34" x14ac:dyDescent="0.25">
      <c r="A1120" s="1">
        <v>45154</v>
      </c>
      <c r="B1120">
        <v>542</v>
      </c>
      <c r="C1120">
        <v>0</v>
      </c>
      <c r="D1120">
        <v>689</v>
      </c>
      <c r="E1120">
        <v>1.6224189E-2</v>
      </c>
      <c r="F1120">
        <v>-1.6224189E-2</v>
      </c>
      <c r="G1120">
        <v>1.6224189E-2</v>
      </c>
      <c r="H1120">
        <v>5.0967959999999998E-3</v>
      </c>
      <c r="I1120">
        <v>1.5258885999999999E-2</v>
      </c>
      <c r="J1120">
        <v>0</v>
      </c>
      <c r="K1120">
        <v>0</v>
      </c>
      <c r="L1120">
        <v>0</v>
      </c>
      <c r="M1120">
        <v>5</v>
      </c>
      <c r="N1120" t="s">
        <v>36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W1120">
        <v>0</v>
      </c>
      <c r="X1120">
        <v>0</v>
      </c>
      <c r="Y1120">
        <v>0</v>
      </c>
      <c r="Z1120">
        <v>1.5258885999999999E-2</v>
      </c>
      <c r="AA1120">
        <v>0</v>
      </c>
      <c r="AB1120" t="s">
        <v>33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f t="shared" si="17"/>
        <v>0</v>
      </c>
    </row>
    <row r="1121" spans="1:34" x14ac:dyDescent="0.25">
      <c r="A1121" s="1">
        <v>45155</v>
      </c>
      <c r="B1121">
        <v>544</v>
      </c>
      <c r="C1121">
        <v>3.6900370000000002E-3</v>
      </c>
      <c r="D1121">
        <v>674</v>
      </c>
      <c r="E1121">
        <v>-2.1770682E-2</v>
      </c>
      <c r="F1121">
        <v>2.5460719E-2</v>
      </c>
      <c r="G1121">
        <v>2.5460719E-2</v>
      </c>
      <c r="H1121">
        <v>6.144371E-3</v>
      </c>
      <c r="I1121">
        <v>1.7205451E-2</v>
      </c>
      <c r="J1121">
        <v>1</v>
      </c>
      <c r="K1121">
        <v>1</v>
      </c>
      <c r="L1121">
        <v>1</v>
      </c>
      <c r="M1121">
        <v>5</v>
      </c>
      <c r="N1121">
        <v>7.309746649</v>
      </c>
      <c r="O1121">
        <v>-37</v>
      </c>
      <c r="P1121">
        <v>5</v>
      </c>
      <c r="Q1121">
        <v>42</v>
      </c>
      <c r="R1121">
        <v>20128</v>
      </c>
      <c r="S1121">
        <v>-3370</v>
      </c>
      <c r="T1121">
        <v>0</v>
      </c>
      <c r="U1121">
        <v>0</v>
      </c>
      <c r="V1121" t="s">
        <v>34</v>
      </c>
      <c r="W1121">
        <v>20128</v>
      </c>
      <c r="X1121">
        <v>-3370</v>
      </c>
      <c r="Y1121">
        <v>0</v>
      </c>
      <c r="Z1121">
        <v>1.7205451E-2</v>
      </c>
      <c r="AA1121">
        <v>23498</v>
      </c>
      <c r="AB1121">
        <v>0.01</v>
      </c>
      <c r="AC1121">
        <v>0</v>
      </c>
      <c r="AD1121">
        <v>0</v>
      </c>
      <c r="AE1121">
        <v>0</v>
      </c>
      <c r="AF1121">
        <v>0</v>
      </c>
      <c r="AG1121">
        <v>23498</v>
      </c>
      <c r="AH1121">
        <f t="shared" si="17"/>
        <v>0</v>
      </c>
    </row>
    <row r="1122" spans="1:34" x14ac:dyDescent="0.25">
      <c r="A1122" s="1">
        <v>45156</v>
      </c>
      <c r="B1122">
        <v>539</v>
      </c>
      <c r="C1122">
        <v>-9.1911760000000006E-3</v>
      </c>
      <c r="D1122">
        <v>674</v>
      </c>
      <c r="E1122">
        <v>0</v>
      </c>
      <c r="F1122">
        <v>-9.1911760000000006E-3</v>
      </c>
      <c r="G1122">
        <v>9.1911760000000006E-3</v>
      </c>
      <c r="H1122">
        <v>6.175565E-3</v>
      </c>
      <c r="I1122">
        <v>1.5112828E-2</v>
      </c>
      <c r="J1122">
        <v>0</v>
      </c>
      <c r="K1122">
        <v>0</v>
      </c>
      <c r="L1122">
        <v>-1</v>
      </c>
      <c r="M1122">
        <v>5</v>
      </c>
      <c r="N1122">
        <v>0</v>
      </c>
      <c r="O1122">
        <v>37</v>
      </c>
      <c r="P1122">
        <v>-5</v>
      </c>
      <c r="Q1122">
        <v>42</v>
      </c>
      <c r="R1122">
        <v>-19943</v>
      </c>
      <c r="S1122">
        <v>3370</v>
      </c>
      <c r="T1122">
        <v>185</v>
      </c>
      <c r="U1122">
        <v>0</v>
      </c>
      <c r="V1122" t="s">
        <v>35</v>
      </c>
      <c r="W1122">
        <v>-19943</v>
      </c>
      <c r="X1122">
        <v>3370</v>
      </c>
      <c r="Y1122">
        <v>185</v>
      </c>
      <c r="Z1122">
        <v>1.5112828E-2</v>
      </c>
      <c r="AA1122">
        <v>23313</v>
      </c>
      <c r="AB1122">
        <v>0.01</v>
      </c>
      <c r="AC1122">
        <v>185</v>
      </c>
      <c r="AD1122">
        <v>7.9354869999999997E-3</v>
      </c>
      <c r="AE1122">
        <v>0</v>
      </c>
      <c r="AF1122">
        <v>185</v>
      </c>
      <c r="AG1122">
        <v>0</v>
      </c>
      <c r="AH1122">
        <f t="shared" si="17"/>
        <v>7.9354866383562813E-3</v>
      </c>
    </row>
    <row r="1123" spans="1:34" x14ac:dyDescent="0.25">
      <c r="A1123" s="1">
        <v>45159</v>
      </c>
      <c r="B1123">
        <v>537</v>
      </c>
      <c r="C1123">
        <v>-3.7105749999999998E-3</v>
      </c>
      <c r="D1123">
        <v>669</v>
      </c>
      <c r="E1123">
        <v>-7.4183979999999997E-3</v>
      </c>
      <c r="F1123">
        <v>3.7078219999999999E-3</v>
      </c>
      <c r="G1123">
        <v>3.7078219999999999E-3</v>
      </c>
      <c r="H1123">
        <v>5.1096859999999996E-3</v>
      </c>
      <c r="I1123">
        <v>1.4736693E-2</v>
      </c>
      <c r="J1123">
        <v>1</v>
      </c>
      <c r="K1123">
        <v>0</v>
      </c>
      <c r="L1123">
        <v>0</v>
      </c>
      <c r="M1123">
        <v>5</v>
      </c>
      <c r="N1123">
        <v>2.4906959199999998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W1123">
        <v>0</v>
      </c>
      <c r="X1123">
        <v>0</v>
      </c>
      <c r="Y1123">
        <v>0</v>
      </c>
      <c r="Z1123">
        <v>1.4736693E-2</v>
      </c>
      <c r="AA1123">
        <v>0</v>
      </c>
      <c r="AB1123" t="s">
        <v>33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f t="shared" si="17"/>
        <v>0</v>
      </c>
    </row>
    <row r="1124" spans="1:34" x14ac:dyDescent="0.25">
      <c r="A1124" s="1">
        <v>45160</v>
      </c>
      <c r="B1124">
        <v>541</v>
      </c>
      <c r="C1124">
        <v>7.4487900000000003E-3</v>
      </c>
      <c r="D1124">
        <v>672</v>
      </c>
      <c r="E1124">
        <v>4.4843050000000001E-3</v>
      </c>
      <c r="F1124">
        <v>2.9644850000000002E-3</v>
      </c>
      <c r="G1124">
        <v>2.9644850000000002E-3</v>
      </c>
      <c r="H1124">
        <v>6.4561089999999998E-3</v>
      </c>
      <c r="I1124">
        <v>1.4123955000000001E-2</v>
      </c>
      <c r="J1124">
        <v>1</v>
      </c>
      <c r="K1124">
        <v>0</v>
      </c>
      <c r="L1124">
        <v>0</v>
      </c>
      <c r="M1124">
        <v>5</v>
      </c>
      <c r="N1124">
        <v>0.74779307500000003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W1124">
        <v>0</v>
      </c>
      <c r="X1124">
        <v>0</v>
      </c>
      <c r="Y1124">
        <v>0</v>
      </c>
      <c r="Z1124">
        <v>1.4123955000000001E-2</v>
      </c>
      <c r="AA1124">
        <v>0</v>
      </c>
      <c r="AB1124" t="s">
        <v>33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f t="shared" si="17"/>
        <v>0</v>
      </c>
    </row>
    <row r="1125" spans="1:34" x14ac:dyDescent="0.25">
      <c r="A1125" s="1">
        <v>45161</v>
      </c>
      <c r="B1125">
        <v>552</v>
      </c>
      <c r="C1125">
        <v>2.0332717E-2</v>
      </c>
      <c r="D1125">
        <v>671</v>
      </c>
      <c r="E1125">
        <v>-1.488095E-3</v>
      </c>
      <c r="F1125">
        <v>2.1820811999999998E-2</v>
      </c>
      <c r="G1125">
        <v>2.1820811999999998E-2</v>
      </c>
      <c r="H1125">
        <v>1.1311486000000001E-2</v>
      </c>
      <c r="I1125">
        <v>1.0174789E-2</v>
      </c>
      <c r="J1125">
        <v>1</v>
      </c>
      <c r="K1125">
        <v>1</v>
      </c>
      <c r="L1125">
        <v>1</v>
      </c>
      <c r="M1125">
        <v>5</v>
      </c>
      <c r="N1125">
        <v>8.8964910999999994E-2</v>
      </c>
      <c r="O1125">
        <v>-1</v>
      </c>
      <c r="P1125">
        <v>5</v>
      </c>
      <c r="Q1125">
        <v>6</v>
      </c>
      <c r="R1125">
        <v>552</v>
      </c>
      <c r="S1125">
        <v>-3355</v>
      </c>
      <c r="T1125">
        <v>0</v>
      </c>
      <c r="U1125">
        <v>0</v>
      </c>
      <c r="V1125" t="s">
        <v>34</v>
      </c>
      <c r="W1125">
        <v>552</v>
      </c>
      <c r="X1125">
        <v>-3355</v>
      </c>
      <c r="Y1125">
        <v>0</v>
      </c>
      <c r="Z1125">
        <v>1.1311486000000001E-2</v>
      </c>
      <c r="AA1125">
        <v>3907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3907</v>
      </c>
      <c r="AH1125">
        <f t="shared" si="17"/>
        <v>0</v>
      </c>
    </row>
    <row r="1126" spans="1:34" x14ac:dyDescent="0.25">
      <c r="A1126" s="1">
        <v>45162</v>
      </c>
      <c r="B1126">
        <v>564</v>
      </c>
      <c r="C1126">
        <v>2.1739129999999999E-2</v>
      </c>
      <c r="D1126">
        <v>691</v>
      </c>
      <c r="E1126">
        <v>2.9806259000000002E-2</v>
      </c>
      <c r="F1126">
        <v>-8.0671289999999993E-3</v>
      </c>
      <c r="G1126">
        <v>8.0671289999999993E-3</v>
      </c>
      <c r="H1126">
        <v>1.3888405E-2</v>
      </c>
      <c r="I1126">
        <v>1.4464602999999999E-2</v>
      </c>
      <c r="J1126">
        <v>0</v>
      </c>
      <c r="K1126">
        <v>0</v>
      </c>
      <c r="L1126">
        <v>-1</v>
      </c>
      <c r="M1126">
        <v>5</v>
      </c>
      <c r="N1126">
        <v>1.6798258129999999</v>
      </c>
      <c r="O1126">
        <v>1</v>
      </c>
      <c r="P1126">
        <v>-5</v>
      </c>
      <c r="Q1126">
        <v>6</v>
      </c>
      <c r="R1126">
        <v>-564</v>
      </c>
      <c r="S1126">
        <v>3455</v>
      </c>
      <c r="T1126">
        <v>-12</v>
      </c>
      <c r="U1126">
        <v>100</v>
      </c>
      <c r="V1126" t="s">
        <v>35</v>
      </c>
      <c r="W1126">
        <v>-564</v>
      </c>
      <c r="X1126">
        <v>3455</v>
      </c>
      <c r="Y1126">
        <v>88</v>
      </c>
      <c r="Z1126">
        <v>1.4464602999999999E-2</v>
      </c>
      <c r="AA1126">
        <v>4019</v>
      </c>
      <c r="AB1126">
        <v>0</v>
      </c>
      <c r="AC1126">
        <v>88</v>
      </c>
      <c r="AD1126">
        <v>2.1895993999999998E-2</v>
      </c>
      <c r="AE1126">
        <v>0</v>
      </c>
      <c r="AF1126">
        <v>88</v>
      </c>
      <c r="AG1126">
        <v>0</v>
      </c>
      <c r="AH1126">
        <f t="shared" si="17"/>
        <v>2.1895994028365263E-2</v>
      </c>
    </row>
    <row r="1127" spans="1:34" x14ac:dyDescent="0.25">
      <c r="A1127" s="1">
        <v>45163</v>
      </c>
      <c r="B1127">
        <v>546</v>
      </c>
      <c r="C1127">
        <v>-3.1914893999999999E-2</v>
      </c>
      <c r="D1127">
        <v>694</v>
      </c>
      <c r="E1127">
        <v>4.3415340000000002E-3</v>
      </c>
      <c r="F1127">
        <v>-3.6256428E-2</v>
      </c>
      <c r="G1127">
        <v>3.6256428E-2</v>
      </c>
      <c r="H1127">
        <v>2.1995496E-2</v>
      </c>
      <c r="I1127">
        <v>1.4211753000000001E-2</v>
      </c>
      <c r="J1127">
        <v>0</v>
      </c>
      <c r="K1127">
        <v>1</v>
      </c>
      <c r="L1127">
        <v>1</v>
      </c>
      <c r="M1127">
        <v>5</v>
      </c>
      <c r="N1127">
        <v>0.17290861599999999</v>
      </c>
      <c r="O1127">
        <v>1</v>
      </c>
      <c r="P1127">
        <v>-5</v>
      </c>
      <c r="Q1127">
        <v>6</v>
      </c>
      <c r="R1127">
        <v>-546</v>
      </c>
      <c r="S1127">
        <v>3470</v>
      </c>
      <c r="T1127">
        <v>0</v>
      </c>
      <c r="U1127">
        <v>0</v>
      </c>
      <c r="V1127" t="s">
        <v>34</v>
      </c>
      <c r="W1127">
        <v>-546</v>
      </c>
      <c r="X1127">
        <v>3470</v>
      </c>
      <c r="Y1127">
        <v>0</v>
      </c>
      <c r="Z1127">
        <v>2.1995496E-2</v>
      </c>
      <c r="AA1127">
        <v>4016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4016</v>
      </c>
      <c r="AH1127">
        <f t="shared" si="17"/>
        <v>0</v>
      </c>
    </row>
    <row r="1128" spans="1:34" x14ac:dyDescent="0.25">
      <c r="A1128" s="1">
        <v>45166</v>
      </c>
      <c r="B1128">
        <v>549</v>
      </c>
      <c r="C1128">
        <v>5.4945050000000002E-3</v>
      </c>
      <c r="D1128">
        <v>701</v>
      </c>
      <c r="E1128">
        <v>1.0086454999999999E-2</v>
      </c>
      <c r="F1128">
        <v>-4.59195E-3</v>
      </c>
      <c r="G1128">
        <v>4.59195E-3</v>
      </c>
      <c r="H1128">
        <v>2.1699765999999999E-2</v>
      </c>
      <c r="I1128">
        <v>1.2095234E-2</v>
      </c>
      <c r="J1128">
        <v>0</v>
      </c>
      <c r="K1128">
        <v>1</v>
      </c>
      <c r="L1128">
        <v>0</v>
      </c>
      <c r="M1128">
        <v>5</v>
      </c>
      <c r="N1128">
        <v>2.3439893340000002</v>
      </c>
      <c r="O1128">
        <v>-1</v>
      </c>
      <c r="P1128">
        <v>5</v>
      </c>
      <c r="Q1128">
        <v>6</v>
      </c>
      <c r="R1128">
        <v>549</v>
      </c>
      <c r="S1128">
        <v>-3505</v>
      </c>
      <c r="T1128">
        <v>3</v>
      </c>
      <c r="U1128">
        <v>-35</v>
      </c>
      <c r="V1128" t="s">
        <v>37</v>
      </c>
      <c r="W1128">
        <v>0</v>
      </c>
      <c r="X1128">
        <v>0</v>
      </c>
      <c r="Y1128">
        <v>0</v>
      </c>
      <c r="Z1128">
        <v>2.1699765999999999E-2</v>
      </c>
      <c r="AA1128">
        <v>4054</v>
      </c>
      <c r="AB1128">
        <v>0</v>
      </c>
      <c r="AC1128">
        <v>-32</v>
      </c>
      <c r="AD1128">
        <v>-7.8934390000000004E-3</v>
      </c>
      <c r="AE1128">
        <v>0</v>
      </c>
      <c r="AF1128">
        <v>0</v>
      </c>
      <c r="AG1128">
        <v>0</v>
      </c>
      <c r="AH1128">
        <f t="shared" si="17"/>
        <v>0</v>
      </c>
    </row>
    <row r="1129" spans="1:34" x14ac:dyDescent="0.25">
      <c r="A1129" s="1">
        <v>45167</v>
      </c>
      <c r="B1129">
        <v>552</v>
      </c>
      <c r="C1129">
        <v>5.4644810000000002E-3</v>
      </c>
      <c r="D1129">
        <v>710</v>
      </c>
      <c r="E1129">
        <v>1.2838802E-2</v>
      </c>
      <c r="F1129">
        <v>-7.3743209999999997E-3</v>
      </c>
      <c r="G1129">
        <v>7.3743209999999997E-3</v>
      </c>
      <c r="H1129">
        <v>2.1653194000000001E-2</v>
      </c>
      <c r="I1129">
        <v>1.181218E-2</v>
      </c>
      <c r="J1129">
        <v>0</v>
      </c>
      <c r="K1129">
        <v>1</v>
      </c>
      <c r="L1129">
        <v>0</v>
      </c>
      <c r="M1129">
        <v>5</v>
      </c>
      <c r="N1129">
        <v>3.022002729</v>
      </c>
      <c r="O1129">
        <v>-1</v>
      </c>
      <c r="P1129">
        <v>5</v>
      </c>
      <c r="Q1129">
        <v>6</v>
      </c>
      <c r="R1129">
        <v>552</v>
      </c>
      <c r="S1129">
        <v>-3550</v>
      </c>
      <c r="T1129">
        <v>6</v>
      </c>
      <c r="U1129">
        <v>-80</v>
      </c>
      <c r="V1129" t="s">
        <v>37</v>
      </c>
      <c r="W1129">
        <v>0</v>
      </c>
      <c r="X1129">
        <v>0</v>
      </c>
      <c r="Y1129">
        <v>0</v>
      </c>
      <c r="Z1129">
        <v>2.1653194000000001E-2</v>
      </c>
      <c r="AA1129">
        <v>4102</v>
      </c>
      <c r="AB1129">
        <v>0</v>
      </c>
      <c r="AC1129">
        <v>-74</v>
      </c>
      <c r="AD1129">
        <v>-1.8039980000000001E-2</v>
      </c>
      <c r="AE1129">
        <v>0</v>
      </c>
      <c r="AF1129">
        <v>0</v>
      </c>
      <c r="AG1129">
        <v>0</v>
      </c>
      <c r="AH1129">
        <f t="shared" si="17"/>
        <v>0</v>
      </c>
    </row>
    <row r="1130" spans="1:34" x14ac:dyDescent="0.25">
      <c r="A1130" s="1">
        <v>45168</v>
      </c>
      <c r="B1130">
        <v>555</v>
      </c>
      <c r="C1130">
        <v>5.4347830000000003E-3</v>
      </c>
      <c r="D1130">
        <v>709</v>
      </c>
      <c r="E1130">
        <v>-1.408451E-3</v>
      </c>
      <c r="F1130">
        <v>6.8432329999999998E-3</v>
      </c>
      <c r="G1130">
        <v>6.8432329999999998E-3</v>
      </c>
      <c r="H1130">
        <v>1.9830560000000001E-2</v>
      </c>
      <c r="I1130">
        <v>1.1790966999999999E-2</v>
      </c>
      <c r="J1130">
        <v>1</v>
      </c>
      <c r="K1130">
        <v>0</v>
      </c>
      <c r="L1130">
        <v>-1</v>
      </c>
      <c r="M1130">
        <v>5</v>
      </c>
      <c r="N1130">
        <v>0.33106458599999999</v>
      </c>
      <c r="O1130">
        <v>-1</v>
      </c>
      <c r="P1130">
        <v>5</v>
      </c>
      <c r="Q1130">
        <v>6</v>
      </c>
      <c r="R1130">
        <v>555</v>
      </c>
      <c r="S1130">
        <v>-3545</v>
      </c>
      <c r="T1130">
        <v>9</v>
      </c>
      <c r="U1130">
        <v>-75</v>
      </c>
      <c r="V1130" t="s">
        <v>35</v>
      </c>
      <c r="W1130">
        <v>555</v>
      </c>
      <c r="X1130">
        <v>-3545</v>
      </c>
      <c r="Y1130">
        <v>-66</v>
      </c>
      <c r="Z1130">
        <v>1.9830560000000001E-2</v>
      </c>
      <c r="AA1130">
        <v>4100</v>
      </c>
      <c r="AB1130">
        <v>0</v>
      </c>
      <c r="AC1130">
        <v>-66</v>
      </c>
      <c r="AD1130">
        <v>-1.6097561E-2</v>
      </c>
      <c r="AE1130">
        <v>0</v>
      </c>
      <c r="AF1130">
        <v>-66</v>
      </c>
      <c r="AG1130">
        <v>0</v>
      </c>
      <c r="AH1130">
        <f t="shared" si="17"/>
        <v>-1.6097560975609757E-2</v>
      </c>
    </row>
    <row r="1131" spans="1:34" x14ac:dyDescent="0.25">
      <c r="A1131" s="1">
        <v>45169</v>
      </c>
      <c r="B1131">
        <v>549</v>
      </c>
      <c r="C1131">
        <v>-1.0810811E-2</v>
      </c>
      <c r="D1131">
        <v>705</v>
      </c>
      <c r="E1131">
        <v>-5.6417489999999997E-3</v>
      </c>
      <c r="F1131">
        <v>-5.1690620000000003E-3</v>
      </c>
      <c r="G1131">
        <v>5.1690620000000003E-3</v>
      </c>
      <c r="H1131">
        <v>1.6479889000000001E-2</v>
      </c>
      <c r="I1131">
        <v>7.7053759999999999E-3</v>
      </c>
      <c r="J1131">
        <v>0</v>
      </c>
      <c r="K1131">
        <v>0</v>
      </c>
      <c r="L1131">
        <v>0</v>
      </c>
      <c r="M1131">
        <v>5</v>
      </c>
      <c r="N1131">
        <v>0.67015037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W1131">
        <v>0</v>
      </c>
      <c r="X1131">
        <v>0</v>
      </c>
      <c r="Y1131">
        <v>0</v>
      </c>
      <c r="Z1131">
        <v>1.6479889000000001E-2</v>
      </c>
      <c r="AA1131">
        <v>0</v>
      </c>
      <c r="AB1131" t="s">
        <v>33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f t="shared" si="17"/>
        <v>0</v>
      </c>
    </row>
    <row r="1132" spans="1:34" x14ac:dyDescent="0.25">
      <c r="A1132" s="1">
        <v>45170</v>
      </c>
      <c r="B1132">
        <v>548</v>
      </c>
      <c r="C1132">
        <v>-1.8214940000000001E-3</v>
      </c>
      <c r="D1132">
        <v>710</v>
      </c>
      <c r="E1132">
        <v>7.0921990000000004E-3</v>
      </c>
      <c r="F1132">
        <v>-8.9136920000000008E-3</v>
      </c>
      <c r="G1132">
        <v>8.9136920000000008E-3</v>
      </c>
      <c r="H1132">
        <v>7.1928570000000004E-3</v>
      </c>
      <c r="I1132">
        <v>7.8291890000000003E-3</v>
      </c>
      <c r="J1132">
        <v>0</v>
      </c>
      <c r="K1132">
        <v>1</v>
      </c>
      <c r="L1132">
        <v>1</v>
      </c>
      <c r="M1132">
        <v>5</v>
      </c>
      <c r="N1132">
        <v>5.0446497900000002</v>
      </c>
      <c r="O1132">
        <v>26</v>
      </c>
      <c r="P1132">
        <v>-5</v>
      </c>
      <c r="Q1132">
        <v>31</v>
      </c>
      <c r="R1132">
        <v>-14248</v>
      </c>
      <c r="S1132">
        <v>3550</v>
      </c>
      <c r="T1132">
        <v>0</v>
      </c>
      <c r="U1132">
        <v>0</v>
      </c>
      <c r="V1132" t="s">
        <v>34</v>
      </c>
      <c r="W1132">
        <v>-14248</v>
      </c>
      <c r="X1132">
        <v>3550</v>
      </c>
      <c r="Y1132">
        <v>0</v>
      </c>
      <c r="Z1132">
        <v>7.8291890000000003E-3</v>
      </c>
      <c r="AA1132">
        <v>17798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17798</v>
      </c>
      <c r="AH1132">
        <f t="shared" si="17"/>
        <v>0</v>
      </c>
    </row>
    <row r="1133" spans="1:34" x14ac:dyDescent="0.25">
      <c r="A1133" s="1">
        <v>45173</v>
      </c>
      <c r="B1133">
        <v>557</v>
      </c>
      <c r="C1133">
        <v>1.6423357999999999E-2</v>
      </c>
      <c r="D1133">
        <v>711</v>
      </c>
      <c r="E1133">
        <v>1.408451E-3</v>
      </c>
      <c r="F1133">
        <v>1.5014906999999999E-2</v>
      </c>
      <c r="G1133">
        <v>1.5014906999999999E-2</v>
      </c>
      <c r="H1133">
        <v>1.0076636999999999E-2</v>
      </c>
      <c r="I1133">
        <v>7.2473160000000002E-3</v>
      </c>
      <c r="J1133">
        <v>1</v>
      </c>
      <c r="K1133">
        <v>0</v>
      </c>
      <c r="L1133">
        <v>-1</v>
      </c>
      <c r="M1133">
        <v>5</v>
      </c>
      <c r="N1133">
        <v>0.10946974499999999</v>
      </c>
      <c r="O1133">
        <v>-26</v>
      </c>
      <c r="P1133">
        <v>5</v>
      </c>
      <c r="Q1133">
        <v>31</v>
      </c>
      <c r="R1133">
        <v>14482</v>
      </c>
      <c r="S1133">
        <v>-3555</v>
      </c>
      <c r="T1133">
        <v>234</v>
      </c>
      <c r="U1133">
        <v>-5</v>
      </c>
      <c r="V1133" t="s">
        <v>35</v>
      </c>
      <c r="W1133">
        <v>14482</v>
      </c>
      <c r="X1133">
        <v>-3555</v>
      </c>
      <c r="Y1133">
        <v>229</v>
      </c>
      <c r="Z1133">
        <v>1.0076636999999999E-2</v>
      </c>
      <c r="AA1133">
        <v>18037</v>
      </c>
      <c r="AB1133">
        <v>0</v>
      </c>
      <c r="AC1133">
        <v>229</v>
      </c>
      <c r="AD1133">
        <v>1.2696125000000001E-2</v>
      </c>
      <c r="AE1133">
        <v>0</v>
      </c>
      <c r="AF1133">
        <v>229</v>
      </c>
      <c r="AG1133">
        <v>0</v>
      </c>
      <c r="AH1133">
        <f t="shared" si="17"/>
        <v>1.2696124632699451E-2</v>
      </c>
    </row>
    <row r="1134" spans="1:34" x14ac:dyDescent="0.25">
      <c r="A1134" s="1">
        <v>45174</v>
      </c>
      <c r="B1134">
        <v>552</v>
      </c>
      <c r="C1134">
        <v>-8.9766610000000004E-3</v>
      </c>
      <c r="D1134">
        <v>718</v>
      </c>
      <c r="E1134">
        <v>9.8452880000000006E-3</v>
      </c>
      <c r="F1134">
        <v>-1.8821949000000001E-2</v>
      </c>
      <c r="G1134">
        <v>1.8821949000000001E-2</v>
      </c>
      <c r="H1134">
        <v>1.1180597E-2</v>
      </c>
      <c r="I1134">
        <v>6.2750899999999997E-3</v>
      </c>
      <c r="J1134">
        <v>0</v>
      </c>
      <c r="K1134">
        <v>1</v>
      </c>
      <c r="L1134">
        <v>1</v>
      </c>
      <c r="M1134">
        <v>5</v>
      </c>
      <c r="N1134">
        <v>1.4265894130000001</v>
      </c>
      <c r="O1134">
        <v>8</v>
      </c>
      <c r="P1134">
        <v>-5</v>
      </c>
      <c r="Q1134">
        <v>13</v>
      </c>
      <c r="R1134">
        <v>-4416</v>
      </c>
      <c r="S1134">
        <v>3590</v>
      </c>
      <c r="T1134">
        <v>0</v>
      </c>
      <c r="U1134">
        <v>0</v>
      </c>
      <c r="V1134" t="s">
        <v>34</v>
      </c>
      <c r="W1134">
        <v>-4416</v>
      </c>
      <c r="X1134">
        <v>3590</v>
      </c>
      <c r="Y1134">
        <v>0</v>
      </c>
      <c r="Z1134">
        <v>1.1180597E-2</v>
      </c>
      <c r="AA1134">
        <v>8006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8006</v>
      </c>
      <c r="AH1134">
        <f t="shared" si="17"/>
        <v>0</v>
      </c>
    </row>
    <row r="1135" spans="1:34" x14ac:dyDescent="0.25">
      <c r="A1135" s="1">
        <v>45175</v>
      </c>
      <c r="B1135">
        <v>550</v>
      </c>
      <c r="C1135">
        <v>-3.6231879999999998E-3</v>
      </c>
      <c r="D1135">
        <v>712</v>
      </c>
      <c r="E1135">
        <v>-8.3565459999999994E-3</v>
      </c>
      <c r="F1135">
        <v>4.733358E-3</v>
      </c>
      <c r="G1135">
        <v>4.733358E-3</v>
      </c>
      <c r="H1135">
        <v>1.0817891E-2</v>
      </c>
      <c r="I1135">
        <v>7.8596039999999992E-3</v>
      </c>
      <c r="J1135">
        <v>1</v>
      </c>
      <c r="K1135">
        <v>0</v>
      </c>
      <c r="L1135">
        <v>-1</v>
      </c>
      <c r="M1135">
        <v>5</v>
      </c>
      <c r="N1135">
        <v>2.9857482910000002</v>
      </c>
      <c r="O1135">
        <v>-8</v>
      </c>
      <c r="P1135">
        <v>5</v>
      </c>
      <c r="Q1135">
        <v>13</v>
      </c>
      <c r="R1135">
        <v>4400</v>
      </c>
      <c r="S1135">
        <v>-3560</v>
      </c>
      <c r="T1135">
        <v>-16</v>
      </c>
      <c r="U1135">
        <v>30</v>
      </c>
      <c r="V1135" t="s">
        <v>35</v>
      </c>
      <c r="W1135">
        <v>4400</v>
      </c>
      <c r="X1135">
        <v>-3560</v>
      </c>
      <c r="Y1135">
        <v>14</v>
      </c>
      <c r="Z1135">
        <v>1.0817891E-2</v>
      </c>
      <c r="AA1135">
        <v>7960</v>
      </c>
      <c r="AB1135">
        <v>0</v>
      </c>
      <c r="AC1135">
        <v>14</v>
      </c>
      <c r="AD1135">
        <v>1.7587939999999999E-3</v>
      </c>
      <c r="AE1135">
        <v>0</v>
      </c>
      <c r="AF1135">
        <v>14</v>
      </c>
      <c r="AG1135">
        <v>0</v>
      </c>
      <c r="AH1135">
        <f t="shared" si="17"/>
        <v>1.7587939698492463E-3</v>
      </c>
    </row>
    <row r="1136" spans="1:34" x14ac:dyDescent="0.25">
      <c r="A1136" s="1">
        <v>45176</v>
      </c>
      <c r="B1136">
        <v>542</v>
      </c>
      <c r="C1136">
        <v>-1.4545455000000001E-2</v>
      </c>
      <c r="D1136">
        <v>717</v>
      </c>
      <c r="E1136">
        <v>7.0224720000000001E-3</v>
      </c>
      <c r="F1136">
        <v>-2.1567926000000001E-2</v>
      </c>
      <c r="G1136">
        <v>2.1567926000000001E-2</v>
      </c>
      <c r="H1136">
        <v>1.1692467E-2</v>
      </c>
      <c r="I1136">
        <v>7.2539470000000002E-3</v>
      </c>
      <c r="J1136">
        <v>0</v>
      </c>
      <c r="K1136">
        <v>1</v>
      </c>
      <c r="L1136">
        <v>1</v>
      </c>
      <c r="M1136">
        <v>5</v>
      </c>
      <c r="N1136">
        <v>0.63867892000000004</v>
      </c>
      <c r="O1136">
        <v>4</v>
      </c>
      <c r="P1136">
        <v>-5</v>
      </c>
      <c r="Q1136">
        <v>9</v>
      </c>
      <c r="R1136">
        <v>-2168</v>
      </c>
      <c r="S1136">
        <v>3585</v>
      </c>
      <c r="T1136">
        <v>0</v>
      </c>
      <c r="U1136">
        <v>0</v>
      </c>
      <c r="V1136" t="s">
        <v>34</v>
      </c>
      <c r="W1136">
        <v>-2168</v>
      </c>
      <c r="X1136">
        <v>3585</v>
      </c>
      <c r="Y1136">
        <v>0</v>
      </c>
      <c r="Z1136">
        <v>1.1692467E-2</v>
      </c>
      <c r="AA1136">
        <v>5753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5753</v>
      </c>
      <c r="AH1136">
        <f t="shared" si="17"/>
        <v>0</v>
      </c>
    </row>
    <row r="1137" spans="1:34" x14ac:dyDescent="0.25">
      <c r="A1137" s="1">
        <v>45177</v>
      </c>
      <c r="B1137">
        <v>539</v>
      </c>
      <c r="C1137">
        <v>-5.5350549999999997E-3</v>
      </c>
      <c r="D1137">
        <v>709</v>
      </c>
      <c r="E1137">
        <v>-1.1157601E-2</v>
      </c>
      <c r="F1137">
        <v>5.622546E-3</v>
      </c>
      <c r="G1137">
        <v>5.622546E-3</v>
      </c>
      <c r="H1137">
        <v>1.1755676E-2</v>
      </c>
      <c r="I1137">
        <v>9.2499460000000002E-3</v>
      </c>
      <c r="J1137">
        <v>1</v>
      </c>
      <c r="K1137">
        <v>0</v>
      </c>
      <c r="L1137">
        <v>-1</v>
      </c>
      <c r="M1137">
        <v>5</v>
      </c>
      <c r="N1137">
        <v>2.6515897599999998</v>
      </c>
      <c r="O1137">
        <v>-4</v>
      </c>
      <c r="P1137">
        <v>5</v>
      </c>
      <c r="Q1137">
        <v>9</v>
      </c>
      <c r="R1137">
        <v>2156</v>
      </c>
      <c r="S1137">
        <v>-3545</v>
      </c>
      <c r="T1137">
        <v>-12</v>
      </c>
      <c r="U1137">
        <v>40</v>
      </c>
      <c r="V1137" t="s">
        <v>35</v>
      </c>
      <c r="W1137">
        <v>2156</v>
      </c>
      <c r="X1137">
        <v>-3545</v>
      </c>
      <c r="Y1137">
        <v>28</v>
      </c>
      <c r="Z1137">
        <v>1.1755676E-2</v>
      </c>
      <c r="AA1137">
        <v>5701</v>
      </c>
      <c r="AB1137">
        <v>0</v>
      </c>
      <c r="AC1137">
        <v>28</v>
      </c>
      <c r="AD1137">
        <v>4.9114190000000002E-3</v>
      </c>
      <c r="AE1137">
        <v>0</v>
      </c>
      <c r="AF1137">
        <v>28</v>
      </c>
      <c r="AG1137">
        <v>0</v>
      </c>
      <c r="AH1137">
        <f t="shared" si="17"/>
        <v>4.9114190492895986E-3</v>
      </c>
    </row>
    <row r="1138" spans="1:34" x14ac:dyDescent="0.25">
      <c r="A1138" s="1">
        <v>45180</v>
      </c>
      <c r="B1138">
        <v>536</v>
      </c>
      <c r="C1138">
        <v>-5.5658629999999999E-3</v>
      </c>
      <c r="D1138">
        <v>714</v>
      </c>
      <c r="E1138">
        <v>7.0521860000000002E-3</v>
      </c>
      <c r="F1138">
        <v>-1.2618048999999999E-2</v>
      </c>
      <c r="G1138">
        <v>1.2618048999999999E-2</v>
      </c>
      <c r="H1138">
        <v>4.3110079999999999E-3</v>
      </c>
      <c r="I1138">
        <v>9.8287819999999994E-3</v>
      </c>
      <c r="J1138">
        <v>0</v>
      </c>
      <c r="K1138">
        <v>1</v>
      </c>
      <c r="L1138">
        <v>1</v>
      </c>
      <c r="M1138">
        <v>5</v>
      </c>
      <c r="N1138">
        <v>1.687814454</v>
      </c>
      <c r="O1138">
        <v>9</v>
      </c>
      <c r="P1138">
        <v>-5</v>
      </c>
      <c r="Q1138">
        <v>14</v>
      </c>
      <c r="R1138">
        <v>-4824</v>
      </c>
      <c r="S1138">
        <v>3570</v>
      </c>
      <c r="T1138">
        <v>0</v>
      </c>
      <c r="U1138">
        <v>0</v>
      </c>
      <c r="V1138" t="s">
        <v>34</v>
      </c>
      <c r="W1138">
        <v>-4824</v>
      </c>
      <c r="X1138">
        <v>3570</v>
      </c>
      <c r="Y1138">
        <v>0</v>
      </c>
      <c r="Z1138">
        <v>9.8287819999999994E-3</v>
      </c>
      <c r="AA1138">
        <v>8394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8394</v>
      </c>
      <c r="AH1138">
        <f t="shared" si="17"/>
        <v>0</v>
      </c>
    </row>
    <row r="1139" spans="1:34" x14ac:dyDescent="0.25">
      <c r="A1139" s="1">
        <v>45181</v>
      </c>
      <c r="B1139">
        <v>544</v>
      </c>
      <c r="C1139">
        <v>1.4925373E-2</v>
      </c>
      <c r="D1139">
        <v>728</v>
      </c>
      <c r="E1139">
        <v>1.9607843E-2</v>
      </c>
      <c r="F1139">
        <v>-4.6824700000000002E-3</v>
      </c>
      <c r="G1139">
        <v>4.6824700000000002E-3</v>
      </c>
      <c r="H1139">
        <v>1.0815834E-2</v>
      </c>
      <c r="I1139">
        <v>1.2626276000000001E-2</v>
      </c>
      <c r="J1139">
        <v>0</v>
      </c>
      <c r="K1139">
        <v>1</v>
      </c>
      <c r="L1139">
        <v>0</v>
      </c>
      <c r="M1139">
        <v>5</v>
      </c>
      <c r="N1139">
        <v>1.758073818</v>
      </c>
      <c r="O1139">
        <v>-9</v>
      </c>
      <c r="P1139">
        <v>5</v>
      </c>
      <c r="Q1139">
        <v>14</v>
      </c>
      <c r="R1139">
        <v>4896</v>
      </c>
      <c r="S1139">
        <v>-3640</v>
      </c>
      <c r="T1139">
        <v>72</v>
      </c>
      <c r="U1139">
        <v>-70</v>
      </c>
      <c r="V1139" t="s">
        <v>37</v>
      </c>
      <c r="W1139">
        <v>0</v>
      </c>
      <c r="X1139">
        <v>0</v>
      </c>
      <c r="Y1139">
        <v>0</v>
      </c>
      <c r="Z1139">
        <v>1.2626276000000001E-2</v>
      </c>
      <c r="AA1139">
        <v>8536</v>
      </c>
      <c r="AB1139">
        <v>0</v>
      </c>
      <c r="AC1139">
        <v>2</v>
      </c>
      <c r="AD1139">
        <v>2.3430200000000001E-4</v>
      </c>
      <c r="AE1139">
        <v>0</v>
      </c>
      <c r="AF1139">
        <v>0</v>
      </c>
      <c r="AG1139">
        <v>0</v>
      </c>
      <c r="AH1139">
        <f t="shared" si="17"/>
        <v>0</v>
      </c>
    </row>
    <row r="1140" spans="1:34" x14ac:dyDescent="0.25">
      <c r="A1140" s="1">
        <v>45182</v>
      </c>
      <c r="B1140">
        <v>541</v>
      </c>
      <c r="C1140">
        <v>-5.5147060000000003E-3</v>
      </c>
      <c r="D1140">
        <v>732</v>
      </c>
      <c r="E1140">
        <v>5.4945050000000002E-3</v>
      </c>
      <c r="F1140">
        <v>-1.1009211E-2</v>
      </c>
      <c r="G1140">
        <v>1.1009211E-2</v>
      </c>
      <c r="H1140">
        <v>1.0881694000000001E-2</v>
      </c>
      <c r="I1140">
        <v>1.0967910000000001E-2</v>
      </c>
      <c r="J1140">
        <v>0</v>
      </c>
      <c r="K1140">
        <v>1</v>
      </c>
      <c r="L1140">
        <v>0</v>
      </c>
      <c r="M1140">
        <v>5</v>
      </c>
      <c r="N1140">
        <v>1.3480936809999999</v>
      </c>
      <c r="O1140">
        <v>-9</v>
      </c>
      <c r="P1140">
        <v>5</v>
      </c>
      <c r="Q1140">
        <v>14</v>
      </c>
      <c r="R1140">
        <v>4869</v>
      </c>
      <c r="S1140">
        <v>-3660</v>
      </c>
      <c r="T1140">
        <v>45</v>
      </c>
      <c r="U1140">
        <v>-90</v>
      </c>
      <c r="V1140" t="s">
        <v>37</v>
      </c>
      <c r="W1140">
        <v>0</v>
      </c>
      <c r="X1140">
        <v>0</v>
      </c>
      <c r="Y1140">
        <v>0</v>
      </c>
      <c r="Z1140">
        <v>1.0967910000000001E-2</v>
      </c>
      <c r="AA1140">
        <v>8529</v>
      </c>
      <c r="AB1140">
        <v>0</v>
      </c>
      <c r="AC1140">
        <v>-45</v>
      </c>
      <c r="AD1140">
        <v>-5.2761170000000003E-3</v>
      </c>
      <c r="AE1140">
        <v>0</v>
      </c>
      <c r="AF1140">
        <v>0</v>
      </c>
      <c r="AG1140">
        <v>0</v>
      </c>
      <c r="AH1140">
        <f t="shared" si="17"/>
        <v>0</v>
      </c>
    </row>
    <row r="1141" spans="1:34" x14ac:dyDescent="0.25">
      <c r="A1141" s="1">
        <v>45183</v>
      </c>
      <c r="B1141">
        <v>550</v>
      </c>
      <c r="C1141">
        <v>1.6635859999999999E-2</v>
      </c>
      <c r="D1141">
        <v>733</v>
      </c>
      <c r="E1141">
        <v>1.36612E-3</v>
      </c>
      <c r="F1141">
        <v>1.5269738999999999E-2</v>
      </c>
      <c r="G1141">
        <v>1.5269738999999999E-2</v>
      </c>
      <c r="H1141">
        <v>1.1692647E-2</v>
      </c>
      <c r="I1141">
        <v>1.1076186E-2</v>
      </c>
      <c r="J1141">
        <v>1</v>
      </c>
      <c r="K1141">
        <v>0</v>
      </c>
      <c r="L1141">
        <v>-1</v>
      </c>
      <c r="M1141">
        <v>5</v>
      </c>
      <c r="N1141">
        <v>0.109442237</v>
      </c>
      <c r="O1141">
        <v>-9</v>
      </c>
      <c r="P1141">
        <v>5</v>
      </c>
      <c r="Q1141">
        <v>14</v>
      </c>
      <c r="R1141">
        <v>4950</v>
      </c>
      <c r="S1141">
        <v>-3665</v>
      </c>
      <c r="T1141">
        <v>126</v>
      </c>
      <c r="U1141">
        <v>-95</v>
      </c>
      <c r="V1141" t="s">
        <v>35</v>
      </c>
      <c r="W1141">
        <v>4950</v>
      </c>
      <c r="X1141">
        <v>-3665</v>
      </c>
      <c r="Y1141">
        <v>31</v>
      </c>
      <c r="Z1141">
        <v>1.1692647E-2</v>
      </c>
      <c r="AA1141">
        <v>8615</v>
      </c>
      <c r="AB1141">
        <v>0</v>
      </c>
      <c r="AC1141">
        <v>31</v>
      </c>
      <c r="AD1141">
        <v>3.598375E-3</v>
      </c>
      <c r="AE1141">
        <v>0</v>
      </c>
      <c r="AF1141">
        <v>31</v>
      </c>
      <c r="AG1141">
        <v>0</v>
      </c>
      <c r="AH1141">
        <f t="shared" si="17"/>
        <v>3.5983749274521182E-3</v>
      </c>
    </row>
    <row r="1142" spans="1:34" x14ac:dyDescent="0.25">
      <c r="A1142" s="1">
        <v>45184</v>
      </c>
      <c r="B1142">
        <v>558</v>
      </c>
      <c r="C1142">
        <v>1.4545455000000001E-2</v>
      </c>
      <c r="D1142">
        <v>763</v>
      </c>
      <c r="E1142">
        <v>4.0927694000000001E-2</v>
      </c>
      <c r="F1142">
        <v>-2.6382240000000001E-2</v>
      </c>
      <c r="G1142">
        <v>2.6382240000000001E-2</v>
      </c>
      <c r="H1142">
        <v>1.147948E-2</v>
      </c>
      <c r="I1142">
        <v>1.606877E-2</v>
      </c>
      <c r="J1142">
        <v>0</v>
      </c>
      <c r="K1142">
        <v>1</v>
      </c>
      <c r="L1142">
        <v>1</v>
      </c>
      <c r="M1142">
        <v>5</v>
      </c>
      <c r="N1142">
        <v>3.8475149989999999</v>
      </c>
      <c r="O1142">
        <v>20</v>
      </c>
      <c r="P1142">
        <v>-5</v>
      </c>
      <c r="Q1142">
        <v>25</v>
      </c>
      <c r="R1142">
        <v>-11160</v>
      </c>
      <c r="S1142">
        <v>3815</v>
      </c>
      <c r="T1142">
        <v>0</v>
      </c>
      <c r="U1142">
        <v>0</v>
      </c>
      <c r="V1142" t="s">
        <v>34</v>
      </c>
      <c r="W1142">
        <v>-11160</v>
      </c>
      <c r="X1142">
        <v>3815</v>
      </c>
      <c r="Y1142">
        <v>0</v>
      </c>
      <c r="Z1142">
        <v>1.606877E-2</v>
      </c>
      <c r="AA1142">
        <v>14975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14975</v>
      </c>
      <c r="AH1142">
        <f t="shared" si="17"/>
        <v>0</v>
      </c>
    </row>
    <row r="1143" spans="1:34" x14ac:dyDescent="0.25">
      <c r="A1143" s="1">
        <v>45187</v>
      </c>
      <c r="B1143">
        <v>540</v>
      </c>
      <c r="C1143">
        <v>-3.2258065000000002E-2</v>
      </c>
      <c r="D1143">
        <v>782</v>
      </c>
      <c r="E1143">
        <v>2.4901704E-2</v>
      </c>
      <c r="F1143">
        <v>-5.7159768E-2</v>
      </c>
      <c r="G1143">
        <v>5.7159768E-2</v>
      </c>
      <c r="H1143">
        <v>2.1024942000000001E-2</v>
      </c>
      <c r="I1143">
        <v>1.587384E-2</v>
      </c>
      <c r="J1143">
        <v>0</v>
      </c>
      <c r="K1143">
        <v>1</v>
      </c>
      <c r="L1143">
        <v>0</v>
      </c>
      <c r="M1143">
        <v>5</v>
      </c>
      <c r="N1143">
        <v>1.117902044</v>
      </c>
      <c r="O1143">
        <v>-20</v>
      </c>
      <c r="P1143">
        <v>5</v>
      </c>
      <c r="Q1143">
        <v>25</v>
      </c>
      <c r="R1143">
        <v>10800</v>
      </c>
      <c r="S1143">
        <v>-3910</v>
      </c>
      <c r="T1143">
        <v>-360</v>
      </c>
      <c r="U1143">
        <v>-95</v>
      </c>
      <c r="V1143" t="s">
        <v>37</v>
      </c>
      <c r="W1143">
        <v>0</v>
      </c>
      <c r="X1143">
        <v>0</v>
      </c>
      <c r="Y1143">
        <v>0</v>
      </c>
      <c r="Z1143">
        <v>2.1024942000000001E-2</v>
      </c>
      <c r="AA1143">
        <v>14710</v>
      </c>
      <c r="AB1143">
        <v>0</v>
      </c>
      <c r="AC1143">
        <v>-455</v>
      </c>
      <c r="AD1143">
        <v>-3.0931338999999999E-2</v>
      </c>
      <c r="AE1143">
        <v>1</v>
      </c>
      <c r="AF1143">
        <v>-455</v>
      </c>
      <c r="AG1143">
        <v>0</v>
      </c>
      <c r="AH1143">
        <f t="shared" si="17"/>
        <v>-3.0931339225016997E-2</v>
      </c>
    </row>
    <row r="1144" spans="1:34" x14ac:dyDescent="0.25">
      <c r="A1144" s="1">
        <v>45188</v>
      </c>
      <c r="B1144">
        <v>538</v>
      </c>
      <c r="C1144">
        <v>-3.7037039999999999E-3</v>
      </c>
      <c r="D1144">
        <v>773</v>
      </c>
      <c r="E1144">
        <v>-1.1508951E-2</v>
      </c>
      <c r="F1144">
        <v>7.8052479999999999E-3</v>
      </c>
      <c r="G1144">
        <v>7.8052479999999999E-3</v>
      </c>
      <c r="H1144">
        <v>1.9696676E-2</v>
      </c>
      <c r="I1144">
        <v>2.0682468999999998E-2</v>
      </c>
      <c r="J1144">
        <v>1</v>
      </c>
      <c r="K1144">
        <v>0</v>
      </c>
      <c r="L1144">
        <v>-1</v>
      </c>
      <c r="M1144">
        <v>5</v>
      </c>
      <c r="N1144">
        <v>4.4647458139999996</v>
      </c>
      <c r="O1144">
        <v>-20</v>
      </c>
      <c r="P1144">
        <v>5</v>
      </c>
      <c r="Q1144">
        <v>25</v>
      </c>
      <c r="R1144">
        <v>10760</v>
      </c>
      <c r="S1144">
        <v>-3865</v>
      </c>
      <c r="T1144">
        <v>-400</v>
      </c>
      <c r="U1144">
        <v>-50</v>
      </c>
      <c r="V1144" t="s">
        <v>35</v>
      </c>
      <c r="W1144">
        <v>10760</v>
      </c>
      <c r="X1144">
        <v>-3865</v>
      </c>
      <c r="Y1144">
        <v>-450</v>
      </c>
      <c r="Z1144">
        <v>2.0682468999999998E-2</v>
      </c>
      <c r="AA1144">
        <v>14625</v>
      </c>
      <c r="AB1144">
        <v>0</v>
      </c>
      <c r="AC1144">
        <v>-450</v>
      </c>
      <c r="AD1144">
        <v>-3.0769231000000001E-2</v>
      </c>
      <c r="AE1144">
        <v>1</v>
      </c>
      <c r="AF1144">
        <v>0</v>
      </c>
      <c r="AG1144">
        <v>0</v>
      </c>
      <c r="AH1144">
        <f t="shared" si="17"/>
        <v>0</v>
      </c>
    </row>
    <row r="1145" spans="1:34" x14ac:dyDescent="0.25">
      <c r="A1145" s="1">
        <v>45189</v>
      </c>
      <c r="B1145">
        <v>535</v>
      </c>
      <c r="C1145">
        <v>-5.576208E-3</v>
      </c>
      <c r="D1145">
        <v>759</v>
      </c>
      <c r="E1145">
        <v>-1.8111255E-2</v>
      </c>
      <c r="F1145">
        <v>1.2535047000000001E-2</v>
      </c>
      <c r="G1145">
        <v>1.2535047000000001E-2</v>
      </c>
      <c r="H1145">
        <v>1.9699392E-2</v>
      </c>
      <c r="I1145">
        <v>2.4875339E-2</v>
      </c>
      <c r="J1145">
        <v>1</v>
      </c>
      <c r="K1145">
        <v>0</v>
      </c>
      <c r="L1145">
        <v>0</v>
      </c>
      <c r="M1145">
        <v>5</v>
      </c>
      <c r="N1145">
        <v>4.6078417619999996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W1145">
        <v>0</v>
      </c>
      <c r="X1145">
        <v>0</v>
      </c>
      <c r="Y1145">
        <v>0</v>
      </c>
      <c r="Z1145">
        <v>2.4875339E-2</v>
      </c>
      <c r="AA1145">
        <v>0</v>
      </c>
      <c r="AB1145" t="s">
        <v>33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f t="shared" si="17"/>
        <v>0</v>
      </c>
    </row>
    <row r="1146" spans="1:34" x14ac:dyDescent="0.25">
      <c r="A1146" s="1">
        <v>45190</v>
      </c>
      <c r="B1146">
        <v>527</v>
      </c>
      <c r="C1146">
        <v>-1.4953271000000001E-2</v>
      </c>
      <c r="D1146">
        <v>746</v>
      </c>
      <c r="E1146">
        <v>-1.7127799999999999E-2</v>
      </c>
      <c r="F1146">
        <v>2.1745290000000001E-3</v>
      </c>
      <c r="G1146">
        <v>2.1745290000000001E-3</v>
      </c>
      <c r="H1146">
        <v>1.7092943999999999E-2</v>
      </c>
      <c r="I1146">
        <v>2.7277216E-2</v>
      </c>
      <c r="J1146">
        <v>1</v>
      </c>
      <c r="K1146">
        <v>0</v>
      </c>
      <c r="L1146">
        <v>0</v>
      </c>
      <c r="M1146">
        <v>5</v>
      </c>
      <c r="N1146">
        <v>1.62141275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W1146">
        <v>0</v>
      </c>
      <c r="X1146">
        <v>0</v>
      </c>
      <c r="Y1146">
        <v>0</v>
      </c>
      <c r="Z1146">
        <v>2.7277216E-2</v>
      </c>
      <c r="AA1146">
        <v>0</v>
      </c>
      <c r="AB1146" t="s">
        <v>33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f t="shared" si="17"/>
        <v>0</v>
      </c>
    </row>
    <row r="1147" spans="1:34" x14ac:dyDescent="0.25">
      <c r="A1147" s="1">
        <v>45191</v>
      </c>
      <c r="B1147">
        <v>522</v>
      </c>
      <c r="C1147">
        <v>-9.4876660000000005E-3</v>
      </c>
      <c r="D1147">
        <v>746</v>
      </c>
      <c r="E1147">
        <v>0</v>
      </c>
      <c r="F1147">
        <v>-9.4876660000000005E-3</v>
      </c>
      <c r="G1147">
        <v>9.4876660000000005E-3</v>
      </c>
      <c r="H1147">
        <v>1.1493117000000001E-2</v>
      </c>
      <c r="I1147">
        <v>1.7877903000000001E-2</v>
      </c>
      <c r="J1147">
        <v>0</v>
      </c>
      <c r="K1147">
        <v>0</v>
      </c>
      <c r="L1147">
        <v>0</v>
      </c>
      <c r="M1147">
        <v>5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W1147">
        <v>0</v>
      </c>
      <c r="X1147">
        <v>0</v>
      </c>
      <c r="Y1147">
        <v>0</v>
      </c>
      <c r="Z1147">
        <v>1.7877903000000001E-2</v>
      </c>
      <c r="AA1147">
        <v>0</v>
      </c>
      <c r="AB1147" t="s">
        <v>33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f t="shared" si="17"/>
        <v>0</v>
      </c>
    </row>
    <row r="1148" spans="1:34" x14ac:dyDescent="0.25">
      <c r="A1148" s="1">
        <v>45194</v>
      </c>
      <c r="B1148">
        <v>525</v>
      </c>
      <c r="C1148">
        <v>5.747126E-3</v>
      </c>
      <c r="D1148">
        <v>755</v>
      </c>
      <c r="E1148">
        <v>1.2064343E-2</v>
      </c>
      <c r="F1148">
        <v>-6.317217E-3</v>
      </c>
      <c r="G1148">
        <v>6.317217E-3</v>
      </c>
      <c r="H1148">
        <v>7.6640600000000003E-3</v>
      </c>
      <c r="I1148">
        <v>1.2833473E-2</v>
      </c>
      <c r="J1148">
        <v>0</v>
      </c>
      <c r="K1148">
        <v>0</v>
      </c>
      <c r="L1148">
        <v>0</v>
      </c>
      <c r="M1148">
        <v>5</v>
      </c>
      <c r="N1148">
        <v>3.018843355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W1148">
        <v>0</v>
      </c>
      <c r="X1148">
        <v>0</v>
      </c>
      <c r="Y1148">
        <v>0</v>
      </c>
      <c r="Z1148">
        <v>1.2833473E-2</v>
      </c>
      <c r="AA1148">
        <v>0</v>
      </c>
      <c r="AB1148" t="s">
        <v>33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f t="shared" si="17"/>
        <v>0</v>
      </c>
    </row>
    <row r="1149" spans="1:34" x14ac:dyDescent="0.25">
      <c r="A1149" s="1">
        <v>45195</v>
      </c>
      <c r="B1149">
        <v>519</v>
      </c>
      <c r="C1149">
        <v>-1.1428571E-2</v>
      </c>
      <c r="D1149">
        <v>737</v>
      </c>
      <c r="E1149">
        <v>-2.3841060000000001E-2</v>
      </c>
      <c r="F1149">
        <v>1.2412487999999999E-2</v>
      </c>
      <c r="G1149">
        <v>1.2412487999999999E-2</v>
      </c>
      <c r="H1149">
        <v>7.9604340000000006E-3</v>
      </c>
      <c r="I1149">
        <v>1.4943451999999999E-2</v>
      </c>
      <c r="J1149">
        <v>1</v>
      </c>
      <c r="K1149">
        <v>0</v>
      </c>
      <c r="L1149">
        <v>0</v>
      </c>
      <c r="M1149">
        <v>5</v>
      </c>
      <c r="N1149">
        <v>2.9623320450000001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W1149">
        <v>0</v>
      </c>
      <c r="X1149">
        <v>0</v>
      </c>
      <c r="Y1149">
        <v>0</v>
      </c>
      <c r="Z1149">
        <v>1.4943451999999999E-2</v>
      </c>
      <c r="AA1149">
        <v>0</v>
      </c>
      <c r="AB1149" t="s">
        <v>33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f t="shared" si="17"/>
        <v>0</v>
      </c>
    </row>
    <row r="1150" spans="1:34" x14ac:dyDescent="0.25">
      <c r="A1150" s="1">
        <v>45196</v>
      </c>
      <c r="B1150">
        <v>522</v>
      </c>
      <c r="C1150">
        <v>5.7803469999999999E-3</v>
      </c>
      <c r="D1150">
        <v>737</v>
      </c>
      <c r="E1150">
        <v>0</v>
      </c>
      <c r="F1150">
        <v>5.7803469999999999E-3</v>
      </c>
      <c r="G1150">
        <v>5.7803469999999999E-3</v>
      </c>
      <c r="H1150">
        <v>9.9015570000000001E-3</v>
      </c>
      <c r="I1150">
        <v>1.4493204000000001E-2</v>
      </c>
      <c r="J1150">
        <v>1</v>
      </c>
      <c r="K1150">
        <v>0</v>
      </c>
      <c r="L1150">
        <v>0</v>
      </c>
      <c r="M1150">
        <v>5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W1150">
        <v>0</v>
      </c>
      <c r="X1150">
        <v>0</v>
      </c>
      <c r="Y1150">
        <v>0</v>
      </c>
      <c r="Z1150">
        <v>1.4493204000000001E-2</v>
      </c>
      <c r="AA1150">
        <v>0</v>
      </c>
      <c r="AB1150" t="s">
        <v>33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f t="shared" si="17"/>
        <v>0</v>
      </c>
    </row>
    <row r="1151" spans="1:34" x14ac:dyDescent="0.25">
      <c r="A1151" s="1">
        <v>45197</v>
      </c>
      <c r="B1151">
        <v>523</v>
      </c>
      <c r="C1151">
        <v>1.915709E-3</v>
      </c>
      <c r="D1151">
        <v>735</v>
      </c>
      <c r="E1151">
        <v>-2.7137039999999999E-3</v>
      </c>
      <c r="F1151">
        <v>4.6294129999999998E-3</v>
      </c>
      <c r="G1151">
        <v>4.6294129999999998E-3</v>
      </c>
      <c r="H1151">
        <v>8.3601820000000007E-3</v>
      </c>
      <c r="I1151">
        <v>1.3031829E-2</v>
      </c>
      <c r="J1151">
        <v>1</v>
      </c>
      <c r="K1151">
        <v>0</v>
      </c>
      <c r="L1151">
        <v>0</v>
      </c>
      <c r="M1151">
        <v>5</v>
      </c>
      <c r="N1151">
        <v>1.990758877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W1151">
        <v>0</v>
      </c>
      <c r="X1151">
        <v>0</v>
      </c>
      <c r="Y1151">
        <v>0</v>
      </c>
      <c r="Z1151">
        <v>1.3031829E-2</v>
      </c>
      <c r="AA1151">
        <v>0</v>
      </c>
      <c r="AB1151" t="s">
        <v>33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f t="shared" si="17"/>
        <v>0</v>
      </c>
    </row>
    <row r="1152" spans="1:34" x14ac:dyDescent="0.25">
      <c r="A1152" s="1">
        <v>45201</v>
      </c>
      <c r="B1152">
        <v>533</v>
      </c>
      <c r="C1152">
        <v>1.9120458999999999E-2</v>
      </c>
      <c r="D1152">
        <v>745</v>
      </c>
      <c r="E1152">
        <v>1.3605442000000001E-2</v>
      </c>
      <c r="F1152">
        <v>5.5150169999999997E-3</v>
      </c>
      <c r="G1152">
        <v>5.5150169999999997E-3</v>
      </c>
      <c r="H1152">
        <v>1.091991E-2</v>
      </c>
      <c r="I1152">
        <v>1.5052077000000001E-2</v>
      </c>
      <c r="J1152">
        <v>1</v>
      </c>
      <c r="K1152">
        <v>0</v>
      </c>
      <c r="L1152">
        <v>0</v>
      </c>
      <c r="M1152">
        <v>5</v>
      </c>
      <c r="N1152">
        <v>0.99458845500000004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W1152">
        <v>0</v>
      </c>
      <c r="X1152">
        <v>0</v>
      </c>
      <c r="Y1152">
        <v>0</v>
      </c>
      <c r="Z1152">
        <v>1.5052077000000001E-2</v>
      </c>
      <c r="AA1152">
        <v>0</v>
      </c>
      <c r="AB1152" t="s">
        <v>33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f t="shared" si="17"/>
        <v>0</v>
      </c>
    </row>
    <row r="1153" spans="1:34" x14ac:dyDescent="0.25">
      <c r="A1153" s="1">
        <v>45202</v>
      </c>
      <c r="B1153">
        <v>529</v>
      </c>
      <c r="C1153">
        <v>-7.5046899999999996E-3</v>
      </c>
      <c r="D1153">
        <v>772</v>
      </c>
      <c r="E1153">
        <v>3.6241611E-2</v>
      </c>
      <c r="F1153">
        <v>-4.3746301000000001E-2</v>
      </c>
      <c r="G1153">
        <v>4.3746301000000001E-2</v>
      </c>
      <c r="H1153">
        <v>1.2012261999999999E-2</v>
      </c>
      <c r="I1153">
        <v>2.2168765E-2</v>
      </c>
      <c r="J1153">
        <v>0</v>
      </c>
      <c r="K1153">
        <v>1</v>
      </c>
      <c r="L1153">
        <v>1</v>
      </c>
      <c r="M1153">
        <v>5</v>
      </c>
      <c r="N1153">
        <v>7.0475203310000003</v>
      </c>
      <c r="O1153">
        <v>36</v>
      </c>
      <c r="P1153">
        <v>-5</v>
      </c>
      <c r="Q1153">
        <v>41</v>
      </c>
      <c r="R1153">
        <v>-19044</v>
      </c>
      <c r="S1153">
        <v>3860</v>
      </c>
      <c r="T1153">
        <v>0</v>
      </c>
      <c r="U1153">
        <v>0</v>
      </c>
      <c r="V1153" t="s">
        <v>34</v>
      </c>
      <c r="W1153">
        <v>-19044</v>
      </c>
      <c r="X1153">
        <v>3860</v>
      </c>
      <c r="Y1153">
        <v>0</v>
      </c>
      <c r="Z1153">
        <v>2.2168765E-2</v>
      </c>
      <c r="AA1153">
        <v>22904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22904</v>
      </c>
      <c r="AH1153">
        <f t="shared" si="17"/>
        <v>0</v>
      </c>
    </row>
    <row r="1154" spans="1:34" x14ac:dyDescent="0.25">
      <c r="A1154" s="1">
        <v>45203</v>
      </c>
      <c r="B1154">
        <v>520</v>
      </c>
      <c r="C1154">
        <v>-1.7013232999999999E-2</v>
      </c>
      <c r="D1154">
        <v>780</v>
      </c>
      <c r="E1154">
        <v>1.0362694E-2</v>
      </c>
      <c r="F1154">
        <v>-2.7375927000000001E-2</v>
      </c>
      <c r="G1154">
        <v>2.7375927000000001E-2</v>
      </c>
      <c r="H1154">
        <v>1.3669199E-2</v>
      </c>
      <c r="I1154">
        <v>1.5428489E-2</v>
      </c>
      <c r="J1154">
        <v>0</v>
      </c>
      <c r="K1154">
        <v>1</v>
      </c>
      <c r="L1154">
        <v>0</v>
      </c>
      <c r="M1154">
        <v>5</v>
      </c>
      <c r="N1154">
        <v>0.91364421399999995</v>
      </c>
      <c r="O1154">
        <v>-36</v>
      </c>
      <c r="P1154">
        <v>5</v>
      </c>
      <c r="Q1154">
        <v>41</v>
      </c>
      <c r="R1154">
        <v>18720</v>
      </c>
      <c r="S1154">
        <v>-3900</v>
      </c>
      <c r="T1154">
        <v>-324</v>
      </c>
      <c r="U1154">
        <v>-40</v>
      </c>
      <c r="V1154" t="s">
        <v>37</v>
      </c>
      <c r="W1154">
        <v>0</v>
      </c>
      <c r="X1154">
        <v>0</v>
      </c>
      <c r="Y1154">
        <v>0</v>
      </c>
      <c r="Z1154">
        <v>1.5428489E-2</v>
      </c>
      <c r="AA1154">
        <v>22620</v>
      </c>
      <c r="AB1154">
        <v>0</v>
      </c>
      <c r="AC1154">
        <v>-364</v>
      </c>
      <c r="AD1154">
        <v>-1.6091953999999999E-2</v>
      </c>
      <c r="AE1154">
        <v>1</v>
      </c>
      <c r="AF1154">
        <v>-364</v>
      </c>
      <c r="AG1154">
        <v>0</v>
      </c>
      <c r="AH1154">
        <f t="shared" si="17"/>
        <v>-1.6091954022988506E-2</v>
      </c>
    </row>
    <row r="1155" spans="1:34" x14ac:dyDescent="0.25">
      <c r="A1155" s="1">
        <v>45204</v>
      </c>
      <c r="B1155">
        <v>528</v>
      </c>
      <c r="C1155">
        <v>1.5384615000000001E-2</v>
      </c>
      <c r="D1155">
        <v>786</v>
      </c>
      <c r="E1155">
        <v>7.6923080000000001E-3</v>
      </c>
      <c r="F1155">
        <v>7.6923080000000001E-3</v>
      </c>
      <c r="G1155">
        <v>7.6923080000000001E-3</v>
      </c>
      <c r="H1155">
        <v>1.519361E-2</v>
      </c>
      <c r="I1155">
        <v>1.4340323E-2</v>
      </c>
      <c r="J1155">
        <v>1</v>
      </c>
      <c r="K1155">
        <v>0</v>
      </c>
      <c r="L1155">
        <v>-1</v>
      </c>
      <c r="M1155">
        <v>5</v>
      </c>
      <c r="N1155">
        <v>0.74431818199999999</v>
      </c>
      <c r="O1155">
        <v>-36</v>
      </c>
      <c r="P1155">
        <v>5</v>
      </c>
      <c r="Q1155">
        <v>41</v>
      </c>
      <c r="R1155">
        <v>19008</v>
      </c>
      <c r="S1155">
        <v>-3930</v>
      </c>
      <c r="T1155">
        <v>-36</v>
      </c>
      <c r="U1155">
        <v>-70</v>
      </c>
      <c r="V1155" t="s">
        <v>35</v>
      </c>
      <c r="W1155">
        <v>19008</v>
      </c>
      <c r="X1155">
        <v>-3930</v>
      </c>
      <c r="Y1155">
        <v>-106</v>
      </c>
      <c r="Z1155">
        <v>1.519361E-2</v>
      </c>
      <c r="AA1155">
        <v>22938</v>
      </c>
      <c r="AB1155">
        <v>0</v>
      </c>
      <c r="AC1155">
        <v>-106</v>
      </c>
      <c r="AD1155">
        <v>-4.6211530000000002E-3</v>
      </c>
      <c r="AE1155">
        <v>0</v>
      </c>
      <c r="AF1155">
        <v>0</v>
      </c>
      <c r="AG1155">
        <v>0</v>
      </c>
      <c r="AH1155">
        <f t="shared" ref="AH1155:AH1218" si="18">IF(AF1155&lt;&gt;0,AF1155/AA1155,0)</f>
        <v>0</v>
      </c>
    </row>
    <row r="1156" spans="1:34" x14ac:dyDescent="0.25">
      <c r="A1156" s="1">
        <v>45205</v>
      </c>
      <c r="B1156">
        <v>532</v>
      </c>
      <c r="C1156">
        <v>7.5757580000000001E-3</v>
      </c>
      <c r="D1156">
        <v>786</v>
      </c>
      <c r="E1156">
        <v>0</v>
      </c>
      <c r="F1156">
        <v>7.5757580000000001E-3</v>
      </c>
      <c r="G1156">
        <v>7.5757580000000001E-3</v>
      </c>
      <c r="H1156">
        <v>1.5360255E-2</v>
      </c>
      <c r="I1156">
        <v>1.3628845000000001E-2</v>
      </c>
      <c r="J1156">
        <v>1</v>
      </c>
      <c r="K1156">
        <v>0</v>
      </c>
      <c r="L1156">
        <v>0</v>
      </c>
      <c r="M1156">
        <v>5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W1156">
        <v>0</v>
      </c>
      <c r="X1156">
        <v>0</v>
      </c>
      <c r="Y1156">
        <v>0</v>
      </c>
      <c r="Z1156">
        <v>1.5360255E-2</v>
      </c>
      <c r="AA1156">
        <v>0</v>
      </c>
      <c r="AB1156" t="s">
        <v>33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f t="shared" si="18"/>
        <v>0</v>
      </c>
    </row>
    <row r="1157" spans="1:34" x14ac:dyDescent="0.25">
      <c r="A1157" s="1">
        <v>45210</v>
      </c>
      <c r="B1157">
        <v>544</v>
      </c>
      <c r="C1157">
        <v>2.2556390999999999E-2</v>
      </c>
      <c r="D1157">
        <v>814</v>
      </c>
      <c r="E1157">
        <v>3.5623410000000001E-2</v>
      </c>
      <c r="F1157">
        <v>-1.3067018999999999E-2</v>
      </c>
      <c r="G1157">
        <v>1.3067018999999999E-2</v>
      </c>
      <c r="H1157">
        <v>1.6282272E-2</v>
      </c>
      <c r="I1157">
        <v>1.6821984000000002E-2</v>
      </c>
      <c r="J1157">
        <v>0</v>
      </c>
      <c r="K1157">
        <v>0</v>
      </c>
      <c r="L1157">
        <v>0</v>
      </c>
      <c r="M1157">
        <v>5</v>
      </c>
      <c r="N1157">
        <v>2.3631504759999999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W1157">
        <v>0</v>
      </c>
      <c r="X1157">
        <v>0</v>
      </c>
      <c r="Y1157">
        <v>0</v>
      </c>
      <c r="Z1157">
        <v>1.6821984000000002E-2</v>
      </c>
      <c r="AA1157">
        <v>0</v>
      </c>
      <c r="AB1157" t="s">
        <v>33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f t="shared" si="18"/>
        <v>0</v>
      </c>
    </row>
    <row r="1158" spans="1:34" x14ac:dyDescent="0.25">
      <c r="A1158" s="1">
        <v>45211</v>
      </c>
      <c r="B1158">
        <v>550</v>
      </c>
      <c r="C1158">
        <v>1.1029412000000001E-2</v>
      </c>
      <c r="D1158">
        <v>815</v>
      </c>
      <c r="E1158">
        <v>1.2285009999999999E-3</v>
      </c>
      <c r="F1158">
        <v>9.8009110000000007E-3</v>
      </c>
      <c r="G1158">
        <v>9.8009110000000007E-3</v>
      </c>
      <c r="H1158">
        <v>1.5011633E-2</v>
      </c>
      <c r="I1158">
        <v>1.4440738999999999E-2</v>
      </c>
      <c r="J1158">
        <v>1</v>
      </c>
      <c r="K1158">
        <v>0</v>
      </c>
      <c r="L1158">
        <v>0</v>
      </c>
      <c r="M1158">
        <v>5</v>
      </c>
      <c r="N1158">
        <v>0.165051001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W1158">
        <v>0</v>
      </c>
      <c r="X1158">
        <v>0</v>
      </c>
      <c r="Y1158">
        <v>0</v>
      </c>
      <c r="Z1158">
        <v>1.5011633E-2</v>
      </c>
      <c r="AA1158">
        <v>0</v>
      </c>
      <c r="AB1158" t="s">
        <v>33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f t="shared" si="18"/>
        <v>0</v>
      </c>
    </row>
    <row r="1159" spans="1:34" x14ac:dyDescent="0.25">
      <c r="A1159" s="1">
        <v>45212</v>
      </c>
      <c r="B1159">
        <v>553</v>
      </c>
      <c r="C1159">
        <v>5.4545449999999999E-3</v>
      </c>
      <c r="D1159">
        <v>842</v>
      </c>
      <c r="E1159">
        <v>3.3128834000000003E-2</v>
      </c>
      <c r="F1159">
        <v>-2.7674289000000001E-2</v>
      </c>
      <c r="G1159">
        <v>2.7674289000000001E-2</v>
      </c>
      <c r="H1159">
        <v>6.8090269999999996E-3</v>
      </c>
      <c r="I1159">
        <v>1.7468594E-2</v>
      </c>
      <c r="J1159">
        <v>0</v>
      </c>
      <c r="K1159">
        <v>1</v>
      </c>
      <c r="L1159">
        <v>1</v>
      </c>
      <c r="M1159">
        <v>5</v>
      </c>
      <c r="N1159">
        <v>9.2477174140000002</v>
      </c>
      <c r="O1159">
        <v>47</v>
      </c>
      <c r="P1159">
        <v>-5</v>
      </c>
      <c r="Q1159">
        <v>52</v>
      </c>
      <c r="R1159">
        <v>-25991</v>
      </c>
      <c r="S1159">
        <v>4210</v>
      </c>
      <c r="T1159">
        <v>0</v>
      </c>
      <c r="U1159">
        <v>0</v>
      </c>
      <c r="V1159" t="s">
        <v>34</v>
      </c>
      <c r="W1159">
        <v>-25991</v>
      </c>
      <c r="X1159">
        <v>4210</v>
      </c>
      <c r="Y1159">
        <v>0</v>
      </c>
      <c r="Z1159">
        <v>1.7468594E-2</v>
      </c>
      <c r="AA1159">
        <v>30201</v>
      </c>
      <c r="AB1159">
        <v>0.01</v>
      </c>
      <c r="AC1159">
        <v>0</v>
      </c>
      <c r="AD1159">
        <v>0</v>
      </c>
      <c r="AE1159">
        <v>0</v>
      </c>
      <c r="AF1159">
        <v>0</v>
      </c>
      <c r="AG1159">
        <v>30201</v>
      </c>
      <c r="AH1159">
        <f t="shared" si="18"/>
        <v>0</v>
      </c>
    </row>
    <row r="1160" spans="1:34" x14ac:dyDescent="0.25">
      <c r="A1160" s="1">
        <v>45215</v>
      </c>
      <c r="B1160">
        <v>545</v>
      </c>
      <c r="C1160">
        <v>-1.4466546E-2</v>
      </c>
      <c r="D1160">
        <v>840</v>
      </c>
      <c r="E1160">
        <v>-2.3752970000000002E-3</v>
      </c>
      <c r="F1160">
        <v>-1.2091249E-2</v>
      </c>
      <c r="G1160">
        <v>1.2091249E-2</v>
      </c>
      <c r="H1160">
        <v>1.3417759E-2</v>
      </c>
      <c r="I1160">
        <v>1.9102349000000001E-2</v>
      </c>
      <c r="J1160">
        <v>0</v>
      </c>
      <c r="K1160">
        <v>1</v>
      </c>
      <c r="L1160">
        <v>0</v>
      </c>
      <c r="M1160">
        <v>5</v>
      </c>
      <c r="N1160">
        <v>0.253067184</v>
      </c>
      <c r="O1160">
        <v>-47</v>
      </c>
      <c r="P1160">
        <v>5</v>
      </c>
      <c r="Q1160">
        <v>52</v>
      </c>
      <c r="R1160">
        <v>25615</v>
      </c>
      <c r="S1160">
        <v>-4200</v>
      </c>
      <c r="T1160">
        <v>-376</v>
      </c>
      <c r="U1160">
        <v>10</v>
      </c>
      <c r="V1160" t="s">
        <v>37</v>
      </c>
      <c r="W1160">
        <v>0</v>
      </c>
      <c r="X1160">
        <v>0</v>
      </c>
      <c r="Y1160">
        <v>0</v>
      </c>
      <c r="Z1160">
        <v>1.9102349000000001E-2</v>
      </c>
      <c r="AA1160">
        <v>29815</v>
      </c>
      <c r="AB1160">
        <v>0.01</v>
      </c>
      <c r="AC1160">
        <v>-366</v>
      </c>
      <c r="AD1160">
        <v>-1.2275700000000001E-2</v>
      </c>
      <c r="AE1160">
        <v>0</v>
      </c>
      <c r="AF1160">
        <v>0</v>
      </c>
      <c r="AG1160">
        <v>0</v>
      </c>
      <c r="AH1160">
        <f t="shared" si="18"/>
        <v>0</v>
      </c>
    </row>
    <row r="1161" spans="1:34" x14ac:dyDescent="0.25">
      <c r="A1161" s="1">
        <v>45216</v>
      </c>
      <c r="B1161">
        <v>551</v>
      </c>
      <c r="C1161">
        <v>1.1009174E-2</v>
      </c>
      <c r="D1161">
        <v>825</v>
      </c>
      <c r="E1161">
        <v>-1.7857142999999999E-2</v>
      </c>
      <c r="F1161">
        <v>2.8866316999999999E-2</v>
      </c>
      <c r="G1161">
        <v>2.8866316999999999E-2</v>
      </c>
      <c r="H1161">
        <v>1.357796E-2</v>
      </c>
      <c r="I1161">
        <v>2.3439267E-2</v>
      </c>
      <c r="J1161">
        <v>1</v>
      </c>
      <c r="K1161">
        <v>0</v>
      </c>
      <c r="L1161">
        <v>-1</v>
      </c>
      <c r="M1161">
        <v>5</v>
      </c>
      <c r="N1161">
        <v>2.4286200409999998</v>
      </c>
      <c r="O1161">
        <v>-47</v>
      </c>
      <c r="P1161">
        <v>5</v>
      </c>
      <c r="Q1161">
        <v>52</v>
      </c>
      <c r="R1161">
        <v>25897</v>
      </c>
      <c r="S1161">
        <v>-4125</v>
      </c>
      <c r="T1161">
        <v>-94</v>
      </c>
      <c r="U1161">
        <v>85</v>
      </c>
      <c r="V1161" t="s">
        <v>35</v>
      </c>
      <c r="W1161">
        <v>25897</v>
      </c>
      <c r="X1161">
        <v>-4125</v>
      </c>
      <c r="Y1161">
        <v>-9</v>
      </c>
      <c r="Z1161">
        <v>2.3439267E-2</v>
      </c>
      <c r="AA1161">
        <v>30022</v>
      </c>
      <c r="AB1161">
        <v>0.01</v>
      </c>
      <c r="AC1161">
        <v>-9</v>
      </c>
      <c r="AD1161">
        <v>-2.9977999999999998E-4</v>
      </c>
      <c r="AE1161">
        <v>0</v>
      </c>
      <c r="AF1161">
        <v>-9</v>
      </c>
      <c r="AG1161">
        <v>0</v>
      </c>
      <c r="AH1161">
        <f t="shared" si="18"/>
        <v>-2.997801612151089E-4</v>
      </c>
    </row>
    <row r="1162" spans="1:34" x14ac:dyDescent="0.25">
      <c r="A1162" s="1">
        <v>45217</v>
      </c>
      <c r="B1162">
        <v>540</v>
      </c>
      <c r="C1162">
        <v>-1.9963702E-2</v>
      </c>
      <c r="D1162">
        <v>813</v>
      </c>
      <c r="E1162">
        <v>-1.4545455000000001E-2</v>
      </c>
      <c r="F1162">
        <v>-5.4182479999999996E-3</v>
      </c>
      <c r="G1162">
        <v>5.4182479999999996E-3</v>
      </c>
      <c r="H1162">
        <v>1.4754724E-2</v>
      </c>
      <c r="I1162">
        <v>2.0218081999999998E-2</v>
      </c>
      <c r="J1162">
        <v>0</v>
      </c>
      <c r="K1162">
        <v>0</v>
      </c>
      <c r="L1162">
        <v>0</v>
      </c>
      <c r="M1162">
        <v>5</v>
      </c>
      <c r="N1162">
        <v>1.0969403120000001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W1162">
        <v>0</v>
      </c>
      <c r="X1162">
        <v>0</v>
      </c>
      <c r="Y1162">
        <v>0</v>
      </c>
      <c r="Z1162">
        <v>2.0218081999999998E-2</v>
      </c>
      <c r="AA1162">
        <v>0</v>
      </c>
      <c r="AB1162" t="s">
        <v>33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f t="shared" si="18"/>
        <v>0</v>
      </c>
    </row>
    <row r="1163" spans="1:34" x14ac:dyDescent="0.25">
      <c r="A1163" s="1">
        <v>45218</v>
      </c>
      <c r="B1163">
        <v>546</v>
      </c>
      <c r="C1163">
        <v>1.1111111E-2</v>
      </c>
      <c r="D1163">
        <v>830</v>
      </c>
      <c r="E1163">
        <v>2.0910208999999999E-2</v>
      </c>
      <c r="F1163">
        <v>-9.7990979999999991E-3</v>
      </c>
      <c r="G1163">
        <v>9.7990979999999991E-3</v>
      </c>
      <c r="H1163">
        <v>1.4771948E-2</v>
      </c>
      <c r="I1163">
        <v>2.2341934000000001E-2</v>
      </c>
      <c r="J1163">
        <v>0</v>
      </c>
      <c r="K1163">
        <v>0</v>
      </c>
      <c r="L1163">
        <v>0</v>
      </c>
      <c r="M1163">
        <v>5</v>
      </c>
      <c r="N1163">
        <v>2.860792344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W1163">
        <v>0</v>
      </c>
      <c r="X1163">
        <v>0</v>
      </c>
      <c r="Y1163">
        <v>0</v>
      </c>
      <c r="Z1163">
        <v>2.2341934000000001E-2</v>
      </c>
      <c r="AA1163">
        <v>0</v>
      </c>
      <c r="AB1163" t="s">
        <v>33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f t="shared" si="18"/>
        <v>0</v>
      </c>
    </row>
    <row r="1164" spans="1:34" x14ac:dyDescent="0.25">
      <c r="A1164" s="1">
        <v>45219</v>
      </c>
      <c r="B1164">
        <v>556</v>
      </c>
      <c r="C1164">
        <v>1.8315017999999999E-2</v>
      </c>
      <c r="D1164">
        <v>828</v>
      </c>
      <c r="E1164">
        <v>-2.4096389999999999E-3</v>
      </c>
      <c r="F1164">
        <v>2.0724657E-2</v>
      </c>
      <c r="G1164">
        <v>2.0724657E-2</v>
      </c>
      <c r="H1164">
        <v>1.718078E-2</v>
      </c>
      <c r="I1164">
        <v>1.5216297E-2</v>
      </c>
      <c r="J1164">
        <v>1</v>
      </c>
      <c r="K1164">
        <v>1</v>
      </c>
      <c r="L1164">
        <v>1</v>
      </c>
      <c r="M1164">
        <v>5</v>
      </c>
      <c r="N1164">
        <v>0.195929618</v>
      </c>
      <c r="O1164">
        <v>-1</v>
      </c>
      <c r="P1164">
        <v>5</v>
      </c>
      <c r="Q1164">
        <v>6</v>
      </c>
      <c r="R1164">
        <v>556</v>
      </c>
      <c r="S1164">
        <v>-4140</v>
      </c>
      <c r="T1164">
        <v>0</v>
      </c>
      <c r="U1164">
        <v>0</v>
      </c>
      <c r="V1164" t="s">
        <v>34</v>
      </c>
      <c r="W1164">
        <v>556</v>
      </c>
      <c r="X1164">
        <v>-4140</v>
      </c>
      <c r="Y1164">
        <v>0</v>
      </c>
      <c r="Z1164">
        <v>1.718078E-2</v>
      </c>
      <c r="AA1164">
        <v>4696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4696</v>
      </c>
      <c r="AH1164">
        <f t="shared" si="18"/>
        <v>0</v>
      </c>
    </row>
    <row r="1165" spans="1:34" x14ac:dyDescent="0.25">
      <c r="A1165" s="1">
        <v>45222</v>
      </c>
      <c r="B1165">
        <v>544</v>
      </c>
      <c r="C1165">
        <v>-2.1582733999999999E-2</v>
      </c>
      <c r="D1165">
        <v>821</v>
      </c>
      <c r="E1165">
        <v>-8.4541059999999994E-3</v>
      </c>
      <c r="F1165">
        <v>-1.3128628E-2</v>
      </c>
      <c r="G1165">
        <v>1.3128628E-2</v>
      </c>
      <c r="H1165">
        <v>1.9001417999999999E-2</v>
      </c>
      <c r="I1165">
        <v>1.5370455E-2</v>
      </c>
      <c r="J1165">
        <v>0</v>
      </c>
      <c r="K1165">
        <v>0</v>
      </c>
      <c r="L1165">
        <v>-1</v>
      </c>
      <c r="M1165">
        <v>5</v>
      </c>
      <c r="N1165">
        <v>0.59116063399999996</v>
      </c>
      <c r="O1165">
        <v>1</v>
      </c>
      <c r="P1165">
        <v>-5</v>
      </c>
      <c r="Q1165">
        <v>6</v>
      </c>
      <c r="R1165">
        <v>-544</v>
      </c>
      <c r="S1165">
        <v>4105</v>
      </c>
      <c r="T1165">
        <v>12</v>
      </c>
      <c r="U1165">
        <v>-35</v>
      </c>
      <c r="V1165" t="s">
        <v>35</v>
      </c>
      <c r="W1165">
        <v>-544</v>
      </c>
      <c r="X1165">
        <v>4105</v>
      </c>
      <c r="Y1165">
        <v>-23</v>
      </c>
      <c r="Z1165">
        <v>1.9001417999999999E-2</v>
      </c>
      <c r="AA1165">
        <v>4649</v>
      </c>
      <c r="AB1165">
        <v>0</v>
      </c>
      <c r="AC1165">
        <v>-23</v>
      </c>
      <c r="AD1165">
        <v>-4.9473E-3</v>
      </c>
      <c r="AE1165">
        <v>0</v>
      </c>
      <c r="AF1165">
        <v>-23</v>
      </c>
      <c r="AG1165">
        <v>0</v>
      </c>
      <c r="AH1165">
        <f t="shared" si="18"/>
        <v>-4.9473004947300494E-3</v>
      </c>
    </row>
    <row r="1166" spans="1:34" x14ac:dyDescent="0.25">
      <c r="A1166" s="1">
        <v>45223</v>
      </c>
      <c r="B1166">
        <v>544</v>
      </c>
      <c r="C1166">
        <v>0</v>
      </c>
      <c r="D1166">
        <v>816</v>
      </c>
      <c r="E1166">
        <v>-6.0901339999999997E-3</v>
      </c>
      <c r="F1166">
        <v>6.0901339999999997E-3</v>
      </c>
      <c r="G1166">
        <v>6.0901339999999997E-3</v>
      </c>
      <c r="H1166">
        <v>1.7985273E-2</v>
      </c>
      <c r="I1166">
        <v>1.3608354E-2</v>
      </c>
      <c r="J1166">
        <v>1</v>
      </c>
      <c r="K1166">
        <v>0</v>
      </c>
      <c r="L1166">
        <v>0</v>
      </c>
      <c r="M1166">
        <v>5</v>
      </c>
      <c r="N1166" t="s">
        <v>36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W1166">
        <v>0</v>
      </c>
      <c r="X1166">
        <v>0</v>
      </c>
      <c r="Y1166">
        <v>0</v>
      </c>
      <c r="Z1166">
        <v>1.7985273E-2</v>
      </c>
      <c r="AA1166">
        <v>0</v>
      </c>
      <c r="AB1166" t="s">
        <v>33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f t="shared" si="18"/>
        <v>0</v>
      </c>
    </row>
    <row r="1167" spans="1:34" x14ac:dyDescent="0.25">
      <c r="A1167" s="1">
        <v>45224</v>
      </c>
      <c r="B1167">
        <v>544</v>
      </c>
      <c r="C1167">
        <v>0</v>
      </c>
      <c r="D1167">
        <v>822</v>
      </c>
      <c r="E1167">
        <v>7.352941E-3</v>
      </c>
      <c r="F1167">
        <v>-7.352941E-3</v>
      </c>
      <c r="G1167">
        <v>7.352941E-3</v>
      </c>
      <c r="H1167">
        <v>1.510304E-2</v>
      </c>
      <c r="I1167">
        <v>1.2042536E-2</v>
      </c>
      <c r="J1167">
        <v>0</v>
      </c>
      <c r="K1167">
        <v>0</v>
      </c>
      <c r="L1167">
        <v>0</v>
      </c>
      <c r="M1167">
        <v>5</v>
      </c>
      <c r="N1167" t="s">
        <v>36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W1167">
        <v>0</v>
      </c>
      <c r="X1167">
        <v>0</v>
      </c>
      <c r="Y1167">
        <v>0</v>
      </c>
      <c r="Z1167">
        <v>1.510304E-2</v>
      </c>
      <c r="AA1167">
        <v>0</v>
      </c>
      <c r="AB1167" t="s">
        <v>33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f t="shared" si="18"/>
        <v>0</v>
      </c>
    </row>
    <row r="1168" spans="1:34" x14ac:dyDescent="0.25">
      <c r="A1168" s="1">
        <v>45225</v>
      </c>
      <c r="B1168">
        <v>531</v>
      </c>
      <c r="C1168">
        <v>-2.3897058999999998E-2</v>
      </c>
      <c r="D1168">
        <v>817</v>
      </c>
      <c r="E1168">
        <v>-6.0827249999999998E-3</v>
      </c>
      <c r="F1168">
        <v>-1.7814334000000001E-2</v>
      </c>
      <c r="G1168">
        <v>1.7814334000000001E-2</v>
      </c>
      <c r="H1168">
        <v>1.7498133999999999E-2</v>
      </c>
      <c r="I1168">
        <v>6.2497569999999999E-3</v>
      </c>
      <c r="J1168">
        <v>0</v>
      </c>
      <c r="K1168">
        <v>1</v>
      </c>
      <c r="L1168">
        <v>1</v>
      </c>
      <c r="M1168">
        <v>5</v>
      </c>
      <c r="N1168">
        <v>0.39163479499999998</v>
      </c>
      <c r="O1168">
        <v>2</v>
      </c>
      <c r="P1168">
        <v>-5</v>
      </c>
      <c r="Q1168">
        <v>7</v>
      </c>
      <c r="R1168">
        <v>-1062</v>
      </c>
      <c r="S1168">
        <v>4085</v>
      </c>
      <c r="T1168">
        <v>0</v>
      </c>
      <c r="U1168">
        <v>0</v>
      </c>
      <c r="V1168" t="s">
        <v>34</v>
      </c>
      <c r="W1168">
        <v>-1062</v>
      </c>
      <c r="X1168">
        <v>4085</v>
      </c>
      <c r="Y1168">
        <v>0</v>
      </c>
      <c r="Z1168">
        <v>1.7498133999999999E-2</v>
      </c>
      <c r="AA1168">
        <v>5147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5147</v>
      </c>
      <c r="AH1168">
        <f t="shared" si="18"/>
        <v>0</v>
      </c>
    </row>
    <row r="1169" spans="1:34" x14ac:dyDescent="0.25">
      <c r="A1169" s="1">
        <v>45226</v>
      </c>
      <c r="B1169">
        <v>533</v>
      </c>
      <c r="C1169">
        <v>3.7664780000000002E-3</v>
      </c>
      <c r="D1169">
        <v>801</v>
      </c>
      <c r="E1169">
        <v>-1.9583843E-2</v>
      </c>
      <c r="F1169">
        <v>2.3350322E-2</v>
      </c>
      <c r="G1169">
        <v>2.3350322E-2</v>
      </c>
      <c r="H1169">
        <v>1.3257734E-2</v>
      </c>
      <c r="I1169">
        <v>9.5815699999999993E-3</v>
      </c>
      <c r="J1169">
        <v>1</v>
      </c>
      <c r="K1169">
        <v>0</v>
      </c>
      <c r="L1169">
        <v>-1</v>
      </c>
      <c r="M1169">
        <v>5</v>
      </c>
      <c r="N1169">
        <v>7.8138983739999999</v>
      </c>
      <c r="O1169">
        <v>-2</v>
      </c>
      <c r="P1169">
        <v>5</v>
      </c>
      <c r="Q1169">
        <v>7</v>
      </c>
      <c r="R1169">
        <v>1066</v>
      </c>
      <c r="S1169">
        <v>-4005</v>
      </c>
      <c r="T1169">
        <v>4</v>
      </c>
      <c r="U1169">
        <v>80</v>
      </c>
      <c r="V1169" t="s">
        <v>35</v>
      </c>
      <c r="W1169">
        <v>1066</v>
      </c>
      <c r="X1169">
        <v>-4005</v>
      </c>
      <c r="Y1169">
        <v>84</v>
      </c>
      <c r="Z1169">
        <v>1.3257734E-2</v>
      </c>
      <c r="AA1169">
        <v>5071</v>
      </c>
      <c r="AB1169">
        <v>0</v>
      </c>
      <c r="AC1169">
        <v>84</v>
      </c>
      <c r="AD1169">
        <v>1.6564780000000001E-2</v>
      </c>
      <c r="AE1169">
        <v>0</v>
      </c>
      <c r="AF1169">
        <v>84</v>
      </c>
      <c r="AG1169">
        <v>0</v>
      </c>
      <c r="AH1169">
        <f t="shared" si="18"/>
        <v>1.6564780122263853E-2</v>
      </c>
    </row>
    <row r="1170" spans="1:34" x14ac:dyDescent="0.25">
      <c r="A1170" s="1">
        <v>45229</v>
      </c>
      <c r="B1170">
        <v>532</v>
      </c>
      <c r="C1170">
        <v>-1.8761730000000001E-3</v>
      </c>
      <c r="D1170">
        <v>857</v>
      </c>
      <c r="E1170">
        <v>6.9912609000000001E-2</v>
      </c>
      <c r="F1170">
        <v>-7.1788781999999995E-2</v>
      </c>
      <c r="G1170">
        <v>7.1788781999999995E-2</v>
      </c>
      <c r="H1170">
        <v>1.1089593999999999E-2</v>
      </c>
      <c r="I1170">
        <v>3.5303130000000002E-2</v>
      </c>
      <c r="J1170">
        <v>0</v>
      </c>
      <c r="K1170">
        <v>1</v>
      </c>
      <c r="L1170">
        <v>1</v>
      </c>
      <c r="M1170">
        <v>5</v>
      </c>
      <c r="N1170">
        <v>60.027728500000002</v>
      </c>
      <c r="O1170">
        <v>301</v>
      </c>
      <c r="P1170">
        <v>-5</v>
      </c>
      <c r="Q1170">
        <v>306</v>
      </c>
      <c r="R1170">
        <v>-160132</v>
      </c>
      <c r="S1170">
        <v>4285</v>
      </c>
      <c r="T1170">
        <v>0</v>
      </c>
      <c r="U1170">
        <v>0</v>
      </c>
      <c r="V1170" t="s">
        <v>34</v>
      </c>
      <c r="W1170">
        <v>-160132</v>
      </c>
      <c r="X1170">
        <v>4285</v>
      </c>
      <c r="Y1170">
        <v>0</v>
      </c>
      <c r="Z1170">
        <v>3.5303130000000002E-2</v>
      </c>
      <c r="AA1170">
        <v>164417</v>
      </c>
      <c r="AB1170">
        <v>0.04</v>
      </c>
      <c r="AC1170">
        <v>0</v>
      </c>
      <c r="AD1170">
        <v>0</v>
      </c>
      <c r="AE1170">
        <v>0</v>
      </c>
      <c r="AF1170">
        <v>0</v>
      </c>
      <c r="AG1170">
        <v>164417</v>
      </c>
      <c r="AH1170">
        <f t="shared" si="18"/>
        <v>0</v>
      </c>
    </row>
    <row r="1171" spans="1:34" x14ac:dyDescent="0.25">
      <c r="A1171" s="1">
        <v>45230</v>
      </c>
      <c r="B1171">
        <v>529</v>
      </c>
      <c r="C1171">
        <v>-5.6390980000000004E-3</v>
      </c>
      <c r="D1171">
        <v>842</v>
      </c>
      <c r="E1171">
        <v>-1.7502917E-2</v>
      </c>
      <c r="F1171">
        <v>1.1863818999999999E-2</v>
      </c>
      <c r="G1171">
        <v>1.1863818999999999E-2</v>
      </c>
      <c r="H1171">
        <v>1.0813378E-2</v>
      </c>
      <c r="I1171">
        <v>3.6865325999999997E-2</v>
      </c>
      <c r="J1171">
        <v>1</v>
      </c>
      <c r="K1171">
        <v>0</v>
      </c>
      <c r="L1171">
        <v>-1</v>
      </c>
      <c r="M1171">
        <v>5</v>
      </c>
      <c r="N1171">
        <v>4.9403445000000001</v>
      </c>
      <c r="O1171">
        <v>-301</v>
      </c>
      <c r="P1171">
        <v>5</v>
      </c>
      <c r="Q1171">
        <v>306</v>
      </c>
      <c r="R1171">
        <v>159229</v>
      </c>
      <c r="S1171">
        <v>-4210</v>
      </c>
      <c r="T1171">
        <v>-903</v>
      </c>
      <c r="U1171">
        <v>75</v>
      </c>
      <c r="V1171" t="s">
        <v>35</v>
      </c>
      <c r="W1171">
        <v>159229</v>
      </c>
      <c r="X1171">
        <v>-4210</v>
      </c>
      <c r="Y1171">
        <v>-828</v>
      </c>
      <c r="Z1171">
        <v>3.6865325999999997E-2</v>
      </c>
      <c r="AA1171">
        <v>163439</v>
      </c>
      <c r="AB1171">
        <v>0.04</v>
      </c>
      <c r="AC1171">
        <v>-828</v>
      </c>
      <c r="AD1171">
        <v>-5.0661100000000004E-3</v>
      </c>
      <c r="AE1171">
        <v>0</v>
      </c>
      <c r="AF1171">
        <v>-828</v>
      </c>
      <c r="AG1171">
        <v>0</v>
      </c>
      <c r="AH1171">
        <f t="shared" si="18"/>
        <v>-5.0661102919131911E-3</v>
      </c>
    </row>
    <row r="1172" spans="1:34" x14ac:dyDescent="0.25">
      <c r="A1172" s="1">
        <v>45231</v>
      </c>
      <c r="B1172">
        <v>528</v>
      </c>
      <c r="C1172">
        <v>-1.8903590000000001E-3</v>
      </c>
      <c r="D1172">
        <v>846</v>
      </c>
      <c r="E1172">
        <v>4.7505940000000003E-3</v>
      </c>
      <c r="F1172">
        <v>-6.6409529999999998E-3</v>
      </c>
      <c r="G1172">
        <v>6.6409529999999998E-3</v>
      </c>
      <c r="H1172">
        <v>1.0602725E-2</v>
      </c>
      <c r="I1172">
        <v>3.6874275999999997E-2</v>
      </c>
      <c r="J1172">
        <v>0</v>
      </c>
      <c r="K1172">
        <v>0</v>
      </c>
      <c r="L1172">
        <v>0</v>
      </c>
      <c r="M1172">
        <v>5</v>
      </c>
      <c r="N1172">
        <v>4.0266141219999998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W1172">
        <v>0</v>
      </c>
      <c r="X1172">
        <v>0</v>
      </c>
      <c r="Y1172">
        <v>0</v>
      </c>
      <c r="Z1172">
        <v>3.6874275999999997E-2</v>
      </c>
      <c r="AA1172">
        <v>0</v>
      </c>
      <c r="AB1172" t="s">
        <v>33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f t="shared" si="18"/>
        <v>0</v>
      </c>
    </row>
    <row r="1173" spans="1:34" x14ac:dyDescent="0.25">
      <c r="A1173" s="1">
        <v>45232</v>
      </c>
      <c r="B1173">
        <v>547</v>
      </c>
      <c r="C1173">
        <v>3.5984848E-2</v>
      </c>
      <c r="D1173">
        <v>868</v>
      </c>
      <c r="E1173">
        <v>2.6004728000000001E-2</v>
      </c>
      <c r="F1173">
        <v>9.9801200000000003E-3</v>
      </c>
      <c r="G1173">
        <v>9.9801200000000003E-3</v>
      </c>
      <c r="H1173">
        <v>1.7057375999999999E-2</v>
      </c>
      <c r="I1173">
        <v>3.6972803999999998E-2</v>
      </c>
      <c r="J1173">
        <v>1</v>
      </c>
      <c r="K1173">
        <v>0</v>
      </c>
      <c r="L1173">
        <v>0</v>
      </c>
      <c r="M1173">
        <v>5</v>
      </c>
      <c r="N1173">
        <v>1.1467402019999999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W1173">
        <v>0</v>
      </c>
      <c r="X1173">
        <v>0</v>
      </c>
      <c r="Y1173">
        <v>0</v>
      </c>
      <c r="Z1173">
        <v>3.6972803999999998E-2</v>
      </c>
      <c r="AA1173">
        <v>0</v>
      </c>
      <c r="AB1173" t="s">
        <v>33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f t="shared" si="18"/>
        <v>0</v>
      </c>
    </row>
    <row r="1174" spans="1:34" x14ac:dyDescent="0.25">
      <c r="A1174" s="1">
        <v>45233</v>
      </c>
      <c r="B1174">
        <v>549</v>
      </c>
      <c r="C1174">
        <v>3.6563070000000001E-3</v>
      </c>
      <c r="D1174">
        <v>870</v>
      </c>
      <c r="E1174">
        <v>2.3041469999999999E-3</v>
      </c>
      <c r="F1174">
        <v>1.35216E-3</v>
      </c>
      <c r="G1174">
        <v>1.35216E-3</v>
      </c>
      <c r="H1174">
        <v>1.7061165E-2</v>
      </c>
      <c r="I1174">
        <v>3.3306352999999997E-2</v>
      </c>
      <c r="J1174">
        <v>1</v>
      </c>
      <c r="K1174">
        <v>0</v>
      </c>
      <c r="L1174">
        <v>0</v>
      </c>
      <c r="M1174">
        <v>5</v>
      </c>
      <c r="N1174">
        <v>0.99865276599999997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W1174">
        <v>0</v>
      </c>
      <c r="X1174">
        <v>0</v>
      </c>
      <c r="Y1174">
        <v>0</v>
      </c>
      <c r="Z1174">
        <v>3.3306352999999997E-2</v>
      </c>
      <c r="AA1174">
        <v>0</v>
      </c>
      <c r="AB1174" t="s">
        <v>33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f t="shared" si="18"/>
        <v>0</v>
      </c>
    </row>
    <row r="1175" spans="1:34" x14ac:dyDescent="0.25">
      <c r="A1175" s="1">
        <v>45236</v>
      </c>
      <c r="B1175">
        <v>550</v>
      </c>
      <c r="C1175">
        <v>1.8214940000000001E-3</v>
      </c>
      <c r="D1175">
        <v>882</v>
      </c>
      <c r="E1175">
        <v>1.3793102999999999E-2</v>
      </c>
      <c r="F1175">
        <v>-1.1971610000000001E-2</v>
      </c>
      <c r="G1175">
        <v>1.1971610000000001E-2</v>
      </c>
      <c r="H1175">
        <v>1.6708354000000002E-2</v>
      </c>
      <c r="I1175">
        <v>1.6034685E-2</v>
      </c>
      <c r="J1175">
        <v>0</v>
      </c>
      <c r="K1175">
        <v>0</v>
      </c>
      <c r="L1175">
        <v>0</v>
      </c>
      <c r="M1175">
        <v>5</v>
      </c>
      <c r="N1175">
        <v>12.143398120000001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W1175">
        <v>0</v>
      </c>
      <c r="X1175">
        <v>0</v>
      </c>
      <c r="Y1175">
        <v>0</v>
      </c>
      <c r="Z1175">
        <v>1.6708354000000002E-2</v>
      </c>
      <c r="AA1175">
        <v>0</v>
      </c>
      <c r="AB1175" t="s">
        <v>33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f t="shared" si="18"/>
        <v>0</v>
      </c>
    </row>
    <row r="1176" spans="1:34" x14ac:dyDescent="0.25">
      <c r="A1176" s="1">
        <v>45237</v>
      </c>
      <c r="B1176">
        <v>555</v>
      </c>
      <c r="C1176">
        <v>9.0909089999999994E-3</v>
      </c>
      <c r="D1176">
        <v>888</v>
      </c>
      <c r="E1176">
        <v>6.8027210000000003E-3</v>
      </c>
      <c r="F1176">
        <v>2.288188E-3</v>
      </c>
      <c r="G1176">
        <v>2.288188E-3</v>
      </c>
      <c r="H1176">
        <v>1.5200267E-2</v>
      </c>
      <c r="I1176">
        <v>9.5508079999999992E-3</v>
      </c>
      <c r="J1176">
        <v>1</v>
      </c>
      <c r="K1176">
        <v>0</v>
      </c>
      <c r="L1176">
        <v>0</v>
      </c>
      <c r="M1176">
        <v>5</v>
      </c>
      <c r="N1176">
        <v>1.197278912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W1176">
        <v>0</v>
      </c>
      <c r="X1176">
        <v>0</v>
      </c>
      <c r="Y1176">
        <v>0</v>
      </c>
      <c r="Z1176">
        <v>1.5200267E-2</v>
      </c>
      <c r="AA1176">
        <v>0</v>
      </c>
      <c r="AB1176" t="s">
        <v>33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f t="shared" si="18"/>
        <v>0</v>
      </c>
    </row>
    <row r="1177" spans="1:34" x14ac:dyDescent="0.25">
      <c r="A1177" s="1">
        <v>45238</v>
      </c>
      <c r="B1177">
        <v>556</v>
      </c>
      <c r="C1177">
        <v>1.8018019999999999E-3</v>
      </c>
      <c r="D1177">
        <v>914</v>
      </c>
      <c r="E1177">
        <v>2.9279278999999998E-2</v>
      </c>
      <c r="F1177">
        <v>-2.7477477E-2</v>
      </c>
      <c r="G1177">
        <v>2.7477477E-2</v>
      </c>
      <c r="H1177">
        <v>1.457112E-2</v>
      </c>
      <c r="I1177">
        <v>1.1755966E-2</v>
      </c>
      <c r="J1177">
        <v>0</v>
      </c>
      <c r="K1177">
        <v>1</v>
      </c>
      <c r="L1177">
        <v>1</v>
      </c>
      <c r="M1177">
        <v>5</v>
      </c>
      <c r="N1177">
        <v>26.713129500000001</v>
      </c>
      <c r="O1177">
        <v>134</v>
      </c>
      <c r="P1177">
        <v>-5</v>
      </c>
      <c r="Q1177">
        <v>139</v>
      </c>
      <c r="R1177">
        <v>-74504</v>
      </c>
      <c r="S1177">
        <v>4570</v>
      </c>
      <c r="T1177">
        <v>0</v>
      </c>
      <c r="U1177">
        <v>0</v>
      </c>
      <c r="V1177" t="s">
        <v>34</v>
      </c>
      <c r="W1177">
        <v>-74504</v>
      </c>
      <c r="X1177">
        <v>4570</v>
      </c>
      <c r="Y1177">
        <v>0</v>
      </c>
      <c r="Z1177">
        <v>1.457112E-2</v>
      </c>
      <c r="AA1177">
        <v>79074</v>
      </c>
      <c r="AB1177">
        <v>0.02</v>
      </c>
      <c r="AC1177">
        <v>0</v>
      </c>
      <c r="AD1177">
        <v>0</v>
      </c>
      <c r="AE1177">
        <v>0</v>
      </c>
      <c r="AF1177">
        <v>0</v>
      </c>
      <c r="AG1177">
        <v>79074</v>
      </c>
      <c r="AH1177">
        <f t="shared" si="18"/>
        <v>0</v>
      </c>
    </row>
    <row r="1178" spans="1:34" x14ac:dyDescent="0.25">
      <c r="A1178" s="1">
        <v>45239</v>
      </c>
      <c r="B1178">
        <v>557</v>
      </c>
      <c r="C1178">
        <v>1.798561E-3</v>
      </c>
      <c r="D1178">
        <v>905</v>
      </c>
      <c r="E1178">
        <v>-9.8468270000000007E-3</v>
      </c>
      <c r="F1178">
        <v>1.1645388E-2</v>
      </c>
      <c r="G1178">
        <v>1.1645388E-2</v>
      </c>
      <c r="H1178">
        <v>3.1539390000000001E-3</v>
      </c>
      <c r="I1178">
        <v>1.4471223E-2</v>
      </c>
      <c r="J1178">
        <v>1</v>
      </c>
      <c r="K1178">
        <v>0</v>
      </c>
      <c r="L1178">
        <v>-1</v>
      </c>
      <c r="M1178">
        <v>5</v>
      </c>
      <c r="N1178">
        <v>8.8953796710000006</v>
      </c>
      <c r="O1178">
        <v>-134</v>
      </c>
      <c r="P1178">
        <v>5</v>
      </c>
      <c r="Q1178">
        <v>139</v>
      </c>
      <c r="R1178">
        <v>74638</v>
      </c>
      <c r="S1178">
        <v>-4525</v>
      </c>
      <c r="T1178">
        <v>134</v>
      </c>
      <c r="U1178">
        <v>45</v>
      </c>
      <c r="V1178" t="s">
        <v>35</v>
      </c>
      <c r="W1178">
        <v>74638</v>
      </c>
      <c r="X1178">
        <v>-4525</v>
      </c>
      <c r="Y1178">
        <v>179</v>
      </c>
      <c r="Z1178">
        <v>1.4471223E-2</v>
      </c>
      <c r="AA1178">
        <v>79163</v>
      </c>
      <c r="AB1178">
        <v>0.02</v>
      </c>
      <c r="AC1178">
        <v>179</v>
      </c>
      <c r="AD1178">
        <v>2.2611570000000002E-3</v>
      </c>
      <c r="AE1178">
        <v>0</v>
      </c>
      <c r="AF1178">
        <v>179</v>
      </c>
      <c r="AG1178">
        <v>0</v>
      </c>
      <c r="AH1178">
        <f t="shared" si="18"/>
        <v>2.2611573588671476E-3</v>
      </c>
    </row>
    <row r="1179" spans="1:34" x14ac:dyDescent="0.25">
      <c r="A1179" s="1">
        <v>45240</v>
      </c>
      <c r="B1179">
        <v>557</v>
      </c>
      <c r="C1179">
        <v>0</v>
      </c>
      <c r="D1179">
        <v>884</v>
      </c>
      <c r="E1179">
        <v>-2.320442E-2</v>
      </c>
      <c r="F1179">
        <v>2.320442E-2</v>
      </c>
      <c r="G1179">
        <v>2.320442E-2</v>
      </c>
      <c r="H1179">
        <v>3.5468190000000001E-3</v>
      </c>
      <c r="I1179">
        <v>2.0448714E-2</v>
      </c>
      <c r="J1179">
        <v>1</v>
      </c>
      <c r="K1179">
        <v>0</v>
      </c>
      <c r="L1179">
        <v>0</v>
      </c>
      <c r="M1179">
        <v>5</v>
      </c>
      <c r="N1179" t="s">
        <v>36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W1179">
        <v>0</v>
      </c>
      <c r="X1179">
        <v>0</v>
      </c>
      <c r="Y1179">
        <v>0</v>
      </c>
      <c r="Z1179">
        <v>2.0448714E-2</v>
      </c>
      <c r="AA1179">
        <v>0</v>
      </c>
      <c r="AB1179" t="s">
        <v>33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f t="shared" si="18"/>
        <v>0</v>
      </c>
    </row>
    <row r="1180" spans="1:34" x14ac:dyDescent="0.25">
      <c r="A1180" s="1">
        <v>45243</v>
      </c>
      <c r="B1180">
        <v>571</v>
      </c>
      <c r="C1180">
        <v>2.5134650000000001E-2</v>
      </c>
      <c r="D1180">
        <v>906</v>
      </c>
      <c r="E1180">
        <v>2.4886878000000001E-2</v>
      </c>
      <c r="F1180">
        <v>2.47772E-4</v>
      </c>
      <c r="G1180">
        <v>2.47772E-4</v>
      </c>
      <c r="H1180">
        <v>1.0424928E-2</v>
      </c>
      <c r="I1180">
        <v>2.2374293999999999E-2</v>
      </c>
      <c r="J1180">
        <v>1</v>
      </c>
      <c r="K1180">
        <v>0</v>
      </c>
      <c r="L1180">
        <v>0</v>
      </c>
      <c r="M1180">
        <v>5</v>
      </c>
      <c r="N1180">
        <v>1.571048762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W1180">
        <v>0</v>
      </c>
      <c r="X1180">
        <v>0</v>
      </c>
      <c r="Y1180">
        <v>0</v>
      </c>
      <c r="Z1180">
        <v>2.2374293999999999E-2</v>
      </c>
      <c r="AA1180">
        <v>0</v>
      </c>
      <c r="AB1180" t="s">
        <v>33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f t="shared" si="18"/>
        <v>0</v>
      </c>
    </row>
    <row r="1181" spans="1:34" x14ac:dyDescent="0.25">
      <c r="A1181" s="1">
        <v>45244</v>
      </c>
      <c r="B1181">
        <v>572</v>
      </c>
      <c r="C1181">
        <v>1.751313E-3</v>
      </c>
      <c r="D1181">
        <v>905</v>
      </c>
      <c r="E1181">
        <v>-1.1037530000000001E-3</v>
      </c>
      <c r="F1181">
        <v>2.8550659999999999E-3</v>
      </c>
      <c r="G1181">
        <v>2.8550659999999999E-3</v>
      </c>
      <c r="H1181">
        <v>1.0670237000000001E-2</v>
      </c>
      <c r="I1181">
        <v>2.2545326000000001E-2</v>
      </c>
      <c r="J1181">
        <v>1</v>
      </c>
      <c r="K1181">
        <v>0</v>
      </c>
      <c r="L1181">
        <v>0</v>
      </c>
      <c r="M1181">
        <v>5</v>
      </c>
      <c r="N1181">
        <v>0.99714992499999999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W1181">
        <v>0</v>
      </c>
      <c r="X1181">
        <v>0</v>
      </c>
      <c r="Y1181">
        <v>0</v>
      </c>
      <c r="Z1181">
        <v>2.2545326000000001E-2</v>
      </c>
      <c r="AA1181">
        <v>0</v>
      </c>
      <c r="AB1181" t="s">
        <v>33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f t="shared" si="18"/>
        <v>0</v>
      </c>
    </row>
    <row r="1182" spans="1:34" x14ac:dyDescent="0.25">
      <c r="A1182" s="1">
        <v>45245</v>
      </c>
      <c r="B1182">
        <v>581</v>
      </c>
      <c r="C1182">
        <v>1.5734266E-2</v>
      </c>
      <c r="D1182">
        <v>908</v>
      </c>
      <c r="E1182">
        <v>3.3149170000000001E-3</v>
      </c>
      <c r="F1182">
        <v>1.2419349E-2</v>
      </c>
      <c r="G1182">
        <v>1.2419349E-2</v>
      </c>
      <c r="H1182">
        <v>1.1079416E-2</v>
      </c>
      <c r="I1182">
        <v>1.7747398000000001E-2</v>
      </c>
      <c r="J1182">
        <v>1</v>
      </c>
      <c r="K1182">
        <v>0</v>
      </c>
      <c r="L1182">
        <v>0</v>
      </c>
      <c r="M1182">
        <v>5</v>
      </c>
      <c r="N1182">
        <v>0.329257678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W1182">
        <v>0</v>
      </c>
      <c r="X1182">
        <v>0</v>
      </c>
      <c r="Y1182">
        <v>0</v>
      </c>
      <c r="Z1182">
        <v>1.7747398000000001E-2</v>
      </c>
      <c r="AA1182">
        <v>0</v>
      </c>
      <c r="AB1182" t="s">
        <v>33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f t="shared" si="18"/>
        <v>0</v>
      </c>
    </row>
    <row r="1183" spans="1:34" x14ac:dyDescent="0.25">
      <c r="A1183" s="1">
        <v>45246</v>
      </c>
      <c r="B1183">
        <v>583</v>
      </c>
      <c r="C1183">
        <v>3.4423409999999998E-3</v>
      </c>
      <c r="D1183">
        <v>893</v>
      </c>
      <c r="E1183">
        <v>-1.6519823999999999E-2</v>
      </c>
      <c r="F1183">
        <v>1.9962165E-2</v>
      </c>
      <c r="G1183">
        <v>1.9962165E-2</v>
      </c>
      <c r="H1183">
        <v>1.0838386E-2</v>
      </c>
      <c r="I1183">
        <v>1.8781834000000001E-2</v>
      </c>
      <c r="J1183">
        <v>1</v>
      </c>
      <c r="K1183">
        <v>1</v>
      </c>
      <c r="L1183">
        <v>1</v>
      </c>
      <c r="M1183">
        <v>5</v>
      </c>
      <c r="N1183">
        <v>7.3507973719999997</v>
      </c>
      <c r="O1183">
        <v>-37</v>
      </c>
      <c r="P1183">
        <v>5</v>
      </c>
      <c r="Q1183">
        <v>42</v>
      </c>
      <c r="R1183">
        <v>21571</v>
      </c>
      <c r="S1183">
        <v>-4465</v>
      </c>
      <c r="T1183">
        <v>0</v>
      </c>
      <c r="U1183">
        <v>0</v>
      </c>
      <c r="V1183" t="s">
        <v>34</v>
      </c>
      <c r="W1183">
        <v>21571</v>
      </c>
      <c r="X1183">
        <v>-4465</v>
      </c>
      <c r="Y1183">
        <v>0</v>
      </c>
      <c r="Z1183">
        <v>1.8781834000000001E-2</v>
      </c>
      <c r="AA1183">
        <v>26036</v>
      </c>
      <c r="AB1183">
        <v>0.01</v>
      </c>
      <c r="AC1183">
        <v>0</v>
      </c>
      <c r="AD1183">
        <v>0</v>
      </c>
      <c r="AE1183">
        <v>0</v>
      </c>
      <c r="AF1183">
        <v>0</v>
      </c>
      <c r="AG1183">
        <v>26036</v>
      </c>
      <c r="AH1183">
        <f t="shared" si="18"/>
        <v>0</v>
      </c>
    </row>
    <row r="1184" spans="1:34" x14ac:dyDescent="0.25">
      <c r="A1184" s="1">
        <v>45247</v>
      </c>
      <c r="B1184">
        <v>580</v>
      </c>
      <c r="C1184">
        <v>-5.145798E-3</v>
      </c>
      <c r="D1184">
        <v>904</v>
      </c>
      <c r="E1184">
        <v>1.2318028999999999E-2</v>
      </c>
      <c r="F1184">
        <v>-1.7463827000000001E-2</v>
      </c>
      <c r="G1184">
        <v>1.7463827000000001E-2</v>
      </c>
      <c r="H1184">
        <v>1.2102452E-2</v>
      </c>
      <c r="I1184">
        <v>1.5422017E-2</v>
      </c>
      <c r="J1184">
        <v>0</v>
      </c>
      <c r="K1184">
        <v>0</v>
      </c>
      <c r="L1184">
        <v>-1</v>
      </c>
      <c r="M1184">
        <v>5</v>
      </c>
      <c r="N1184">
        <v>3.7310319079999998</v>
      </c>
      <c r="O1184">
        <v>37</v>
      </c>
      <c r="P1184">
        <v>-5</v>
      </c>
      <c r="Q1184">
        <v>42</v>
      </c>
      <c r="R1184">
        <v>-21460</v>
      </c>
      <c r="S1184">
        <v>4520</v>
      </c>
      <c r="T1184">
        <v>111</v>
      </c>
      <c r="U1184">
        <v>55</v>
      </c>
      <c r="V1184" t="s">
        <v>35</v>
      </c>
      <c r="W1184">
        <v>-21460</v>
      </c>
      <c r="X1184">
        <v>4520</v>
      </c>
      <c r="Y1184">
        <v>166</v>
      </c>
      <c r="Z1184">
        <v>1.5422017E-2</v>
      </c>
      <c r="AA1184">
        <v>25980</v>
      </c>
      <c r="AB1184">
        <v>0.01</v>
      </c>
      <c r="AC1184">
        <v>166</v>
      </c>
      <c r="AD1184">
        <v>6.38953E-3</v>
      </c>
      <c r="AE1184">
        <v>0</v>
      </c>
      <c r="AF1184">
        <v>166</v>
      </c>
      <c r="AG1184">
        <v>0</v>
      </c>
      <c r="AH1184">
        <f t="shared" si="18"/>
        <v>6.3895304080061584E-3</v>
      </c>
    </row>
    <row r="1185" spans="1:34" x14ac:dyDescent="0.25">
      <c r="A1185" s="1">
        <v>45250</v>
      </c>
      <c r="B1185">
        <v>577</v>
      </c>
      <c r="C1185">
        <v>-5.1724140000000002E-3</v>
      </c>
      <c r="D1185">
        <v>912</v>
      </c>
      <c r="E1185">
        <v>8.8495580000000004E-3</v>
      </c>
      <c r="F1185">
        <v>-1.4021970999999999E-2</v>
      </c>
      <c r="G1185">
        <v>1.4021970999999999E-2</v>
      </c>
      <c r="H1185">
        <v>8.5615980000000001E-3</v>
      </c>
      <c r="I1185">
        <v>1.1244455E-2</v>
      </c>
      <c r="J1185">
        <v>0</v>
      </c>
      <c r="K1185">
        <v>1</v>
      </c>
      <c r="L1185">
        <v>1</v>
      </c>
      <c r="M1185">
        <v>5</v>
      </c>
      <c r="N1185">
        <v>2.7042530020000002</v>
      </c>
      <c r="O1185">
        <v>14</v>
      </c>
      <c r="P1185">
        <v>-5</v>
      </c>
      <c r="Q1185">
        <v>19</v>
      </c>
      <c r="R1185">
        <v>-8078</v>
      </c>
      <c r="S1185">
        <v>4560</v>
      </c>
      <c r="T1185">
        <v>0</v>
      </c>
      <c r="U1185">
        <v>0</v>
      </c>
      <c r="V1185" t="s">
        <v>34</v>
      </c>
      <c r="W1185">
        <v>-8078</v>
      </c>
      <c r="X1185">
        <v>4560</v>
      </c>
      <c r="Y1185">
        <v>0</v>
      </c>
      <c r="Z1185">
        <v>1.1244455E-2</v>
      </c>
      <c r="AA1185">
        <v>12638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12638</v>
      </c>
      <c r="AH1185">
        <f t="shared" si="18"/>
        <v>0</v>
      </c>
    </row>
    <row r="1186" spans="1:34" x14ac:dyDescent="0.25">
      <c r="A1186" s="1">
        <v>45251</v>
      </c>
      <c r="B1186">
        <v>585</v>
      </c>
      <c r="C1186">
        <v>1.3864817999999999E-2</v>
      </c>
      <c r="D1186">
        <v>926</v>
      </c>
      <c r="E1186">
        <v>1.5350877000000001E-2</v>
      </c>
      <c r="F1186">
        <v>-1.4860590000000001E-3</v>
      </c>
      <c r="G1186">
        <v>1.4860590000000001E-3</v>
      </c>
      <c r="H1186">
        <v>1.0020157E-2</v>
      </c>
      <c r="I1186">
        <v>1.2657870999999999E-2</v>
      </c>
      <c r="J1186">
        <v>0</v>
      </c>
      <c r="K1186">
        <v>1</v>
      </c>
      <c r="L1186">
        <v>0</v>
      </c>
      <c r="M1186">
        <v>5</v>
      </c>
      <c r="N1186">
        <v>1.7525650399999999</v>
      </c>
      <c r="O1186">
        <v>-14</v>
      </c>
      <c r="P1186">
        <v>5</v>
      </c>
      <c r="Q1186">
        <v>19</v>
      </c>
      <c r="R1186">
        <v>8190</v>
      </c>
      <c r="S1186">
        <v>-4630</v>
      </c>
      <c r="T1186">
        <v>112</v>
      </c>
      <c r="U1186">
        <v>-70</v>
      </c>
      <c r="V1186" t="s">
        <v>37</v>
      </c>
      <c r="W1186">
        <v>0</v>
      </c>
      <c r="X1186">
        <v>0</v>
      </c>
      <c r="Y1186">
        <v>0</v>
      </c>
      <c r="Z1186">
        <v>1.2657870999999999E-2</v>
      </c>
      <c r="AA1186">
        <v>12820</v>
      </c>
      <c r="AB1186">
        <v>0</v>
      </c>
      <c r="AC1186">
        <v>42</v>
      </c>
      <c r="AD1186">
        <v>3.2761309999999998E-3</v>
      </c>
      <c r="AE1186">
        <v>0</v>
      </c>
      <c r="AF1186">
        <v>0</v>
      </c>
      <c r="AG1186">
        <v>0</v>
      </c>
      <c r="AH1186">
        <f t="shared" si="18"/>
        <v>0</v>
      </c>
    </row>
    <row r="1187" spans="1:34" x14ac:dyDescent="0.25">
      <c r="A1187" s="1">
        <v>45252</v>
      </c>
      <c r="B1187">
        <v>577</v>
      </c>
      <c r="C1187">
        <v>-1.3675214E-2</v>
      </c>
      <c r="D1187">
        <v>942</v>
      </c>
      <c r="E1187">
        <v>1.7278617999999999E-2</v>
      </c>
      <c r="F1187">
        <v>-3.0953831000000001E-2</v>
      </c>
      <c r="G1187">
        <v>3.0953831000000001E-2</v>
      </c>
      <c r="H1187">
        <v>1.0432955000000001E-2</v>
      </c>
      <c r="I1187">
        <v>1.3777104E-2</v>
      </c>
      <c r="J1187">
        <v>0</v>
      </c>
      <c r="K1187">
        <v>1</v>
      </c>
      <c r="L1187">
        <v>0</v>
      </c>
      <c r="M1187">
        <v>5</v>
      </c>
      <c r="N1187">
        <v>2.062766001</v>
      </c>
      <c r="O1187">
        <v>-14</v>
      </c>
      <c r="P1187">
        <v>5</v>
      </c>
      <c r="Q1187">
        <v>19</v>
      </c>
      <c r="R1187">
        <v>8078</v>
      </c>
      <c r="S1187">
        <v>-4710</v>
      </c>
      <c r="T1187">
        <v>0</v>
      </c>
      <c r="U1187">
        <v>-150</v>
      </c>
      <c r="V1187" t="s">
        <v>37</v>
      </c>
      <c r="W1187">
        <v>0</v>
      </c>
      <c r="X1187">
        <v>0</v>
      </c>
      <c r="Y1187">
        <v>0</v>
      </c>
      <c r="Z1187">
        <v>1.3777104E-2</v>
      </c>
      <c r="AA1187">
        <v>12788</v>
      </c>
      <c r="AB1187">
        <v>0</v>
      </c>
      <c r="AC1187">
        <v>-150</v>
      </c>
      <c r="AD1187">
        <v>-1.1729747E-2</v>
      </c>
      <c r="AE1187">
        <v>0</v>
      </c>
      <c r="AF1187">
        <v>0</v>
      </c>
      <c r="AG1187">
        <v>0</v>
      </c>
      <c r="AH1187">
        <f t="shared" si="18"/>
        <v>0</v>
      </c>
    </row>
    <row r="1188" spans="1:34" x14ac:dyDescent="0.25">
      <c r="A1188" s="1">
        <v>45253</v>
      </c>
      <c r="B1188">
        <v>578</v>
      </c>
      <c r="C1188">
        <v>1.733102E-3</v>
      </c>
      <c r="D1188">
        <v>930</v>
      </c>
      <c r="E1188">
        <v>-1.2738854000000001E-2</v>
      </c>
      <c r="F1188">
        <v>1.4471955999999999E-2</v>
      </c>
      <c r="G1188">
        <v>1.4471955999999999E-2</v>
      </c>
      <c r="H1188">
        <v>1.0263826E-2</v>
      </c>
      <c r="I1188">
        <v>1.2138486E-2</v>
      </c>
      <c r="J1188">
        <v>1</v>
      </c>
      <c r="K1188">
        <v>0</v>
      </c>
      <c r="L1188">
        <v>-1</v>
      </c>
      <c r="M1188">
        <v>5</v>
      </c>
      <c r="N1188">
        <v>11.826636990000001</v>
      </c>
      <c r="O1188">
        <v>-14</v>
      </c>
      <c r="P1188">
        <v>5</v>
      </c>
      <c r="Q1188">
        <v>19</v>
      </c>
      <c r="R1188">
        <v>8092</v>
      </c>
      <c r="S1188">
        <v>-4650</v>
      </c>
      <c r="T1188">
        <v>14</v>
      </c>
      <c r="U1188">
        <v>-90</v>
      </c>
      <c r="V1188" t="s">
        <v>35</v>
      </c>
      <c r="W1188">
        <v>8092</v>
      </c>
      <c r="X1188">
        <v>-4650</v>
      </c>
      <c r="Y1188">
        <v>-76</v>
      </c>
      <c r="Z1188">
        <v>1.2138486E-2</v>
      </c>
      <c r="AA1188">
        <v>12742</v>
      </c>
      <c r="AB1188">
        <v>0</v>
      </c>
      <c r="AC1188">
        <v>-76</v>
      </c>
      <c r="AD1188">
        <v>-5.9645269999999998E-3</v>
      </c>
      <c r="AE1188">
        <v>0</v>
      </c>
      <c r="AF1188">
        <v>-76</v>
      </c>
      <c r="AG1188">
        <v>0</v>
      </c>
      <c r="AH1188">
        <f t="shared" si="18"/>
        <v>-5.9645267618898129E-3</v>
      </c>
    </row>
    <row r="1189" spans="1:34" x14ac:dyDescent="0.25">
      <c r="A1189" s="1">
        <v>45254</v>
      </c>
      <c r="B1189">
        <v>575</v>
      </c>
      <c r="C1189">
        <v>-5.1903110000000004E-3</v>
      </c>
      <c r="D1189">
        <v>945</v>
      </c>
      <c r="E1189">
        <v>1.6129032000000001E-2</v>
      </c>
      <c r="F1189">
        <v>-2.1319344E-2</v>
      </c>
      <c r="G1189">
        <v>2.1319344E-2</v>
      </c>
      <c r="H1189">
        <v>1.0267603E-2</v>
      </c>
      <c r="I1189">
        <v>1.2572681E-2</v>
      </c>
      <c r="J1189">
        <v>0</v>
      </c>
      <c r="K1189">
        <v>1</v>
      </c>
      <c r="L1189">
        <v>1</v>
      </c>
      <c r="M1189">
        <v>5</v>
      </c>
      <c r="N1189">
        <v>5.1071528749999997</v>
      </c>
      <c r="O1189">
        <v>26</v>
      </c>
      <c r="P1189">
        <v>-5</v>
      </c>
      <c r="Q1189">
        <v>31</v>
      </c>
      <c r="R1189">
        <v>-14950</v>
      </c>
      <c r="S1189">
        <v>4725</v>
      </c>
      <c r="T1189">
        <v>0</v>
      </c>
      <c r="U1189">
        <v>0</v>
      </c>
      <c r="V1189" t="s">
        <v>34</v>
      </c>
      <c r="W1189">
        <v>-14950</v>
      </c>
      <c r="X1189">
        <v>4725</v>
      </c>
      <c r="Y1189">
        <v>0</v>
      </c>
      <c r="Z1189">
        <v>1.2572681E-2</v>
      </c>
      <c r="AA1189">
        <v>19675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19675</v>
      </c>
      <c r="AH1189">
        <f t="shared" si="18"/>
        <v>0</v>
      </c>
    </row>
    <row r="1190" spans="1:34" x14ac:dyDescent="0.25">
      <c r="A1190" s="1">
        <v>45257</v>
      </c>
      <c r="B1190">
        <v>568</v>
      </c>
      <c r="C1190">
        <v>-1.2173913E-2</v>
      </c>
      <c r="D1190">
        <v>931</v>
      </c>
      <c r="E1190">
        <v>-1.4814815E-2</v>
      </c>
      <c r="F1190">
        <v>2.6409020000000001E-3</v>
      </c>
      <c r="G1190">
        <v>2.6409020000000001E-3</v>
      </c>
      <c r="H1190">
        <v>1.1288309E-2</v>
      </c>
      <c r="I1190">
        <v>1.6478573999999999E-2</v>
      </c>
      <c r="J1190">
        <v>1</v>
      </c>
      <c r="K1190">
        <v>0</v>
      </c>
      <c r="L1190">
        <v>-1</v>
      </c>
      <c r="M1190">
        <v>5</v>
      </c>
      <c r="N1190">
        <v>1.994653104</v>
      </c>
      <c r="O1190">
        <v>-26</v>
      </c>
      <c r="P1190">
        <v>5</v>
      </c>
      <c r="Q1190">
        <v>31</v>
      </c>
      <c r="R1190">
        <v>14768</v>
      </c>
      <c r="S1190">
        <v>-4655</v>
      </c>
      <c r="T1190">
        <v>-182</v>
      </c>
      <c r="U1190">
        <v>70</v>
      </c>
      <c r="V1190" t="s">
        <v>35</v>
      </c>
      <c r="W1190">
        <v>14768</v>
      </c>
      <c r="X1190">
        <v>-4655</v>
      </c>
      <c r="Y1190">
        <v>-112</v>
      </c>
      <c r="Z1190">
        <v>1.6478573999999999E-2</v>
      </c>
      <c r="AA1190">
        <v>19423</v>
      </c>
      <c r="AB1190">
        <v>0</v>
      </c>
      <c r="AC1190">
        <v>-112</v>
      </c>
      <c r="AD1190">
        <v>-5.7663590000000004E-3</v>
      </c>
      <c r="AE1190">
        <v>0</v>
      </c>
      <c r="AF1190">
        <v>-112</v>
      </c>
      <c r="AG1190">
        <v>0</v>
      </c>
      <c r="AH1190">
        <f t="shared" si="18"/>
        <v>-5.7663594707305773E-3</v>
      </c>
    </row>
    <row r="1191" spans="1:34" x14ac:dyDescent="0.25">
      <c r="A1191" s="1">
        <v>45258</v>
      </c>
      <c r="B1191">
        <v>575</v>
      </c>
      <c r="C1191">
        <v>1.2323944E-2</v>
      </c>
      <c r="D1191">
        <v>942</v>
      </c>
      <c r="E1191">
        <v>1.1815252E-2</v>
      </c>
      <c r="F1191">
        <v>5.0869100000000003E-4</v>
      </c>
      <c r="G1191">
        <v>5.0869100000000003E-4</v>
      </c>
      <c r="H1191">
        <v>1.0716318000000001E-2</v>
      </c>
      <c r="I1191">
        <v>1.5950025999999999E-2</v>
      </c>
      <c r="J1191">
        <v>1</v>
      </c>
      <c r="K1191">
        <v>0</v>
      </c>
      <c r="L1191">
        <v>0</v>
      </c>
      <c r="M1191">
        <v>5</v>
      </c>
      <c r="N1191">
        <v>1.570638931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W1191">
        <v>0</v>
      </c>
      <c r="X1191">
        <v>0</v>
      </c>
      <c r="Y1191">
        <v>0</v>
      </c>
      <c r="Z1191">
        <v>1.5950025999999999E-2</v>
      </c>
      <c r="AA1191">
        <v>0</v>
      </c>
      <c r="AB1191" t="s">
        <v>33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f t="shared" si="18"/>
        <v>0</v>
      </c>
    </row>
    <row r="1192" spans="1:34" x14ac:dyDescent="0.25">
      <c r="A1192" s="1">
        <v>45259</v>
      </c>
      <c r="B1192">
        <v>574</v>
      </c>
      <c r="C1192">
        <v>-1.73913E-3</v>
      </c>
      <c r="D1192">
        <v>948</v>
      </c>
      <c r="E1192">
        <v>6.3694270000000004E-3</v>
      </c>
      <c r="F1192">
        <v>-8.1085570000000006E-3</v>
      </c>
      <c r="G1192">
        <v>8.1085570000000006E-3</v>
      </c>
      <c r="H1192">
        <v>9.0548090000000005E-3</v>
      </c>
      <c r="I1192">
        <v>1.425599E-2</v>
      </c>
      <c r="J1192">
        <v>0</v>
      </c>
      <c r="K1192">
        <v>0</v>
      </c>
      <c r="L1192">
        <v>0</v>
      </c>
      <c r="M1192">
        <v>5</v>
      </c>
      <c r="N1192">
        <v>6.0487361020000003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W1192">
        <v>0</v>
      </c>
      <c r="X1192">
        <v>0</v>
      </c>
      <c r="Y1192">
        <v>0</v>
      </c>
      <c r="Z1192">
        <v>1.425599E-2</v>
      </c>
      <c r="AA1192">
        <v>0</v>
      </c>
      <c r="AB1192" t="s">
        <v>33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f t="shared" si="18"/>
        <v>0</v>
      </c>
    </row>
    <row r="1193" spans="1:34" x14ac:dyDescent="0.25">
      <c r="A1193" s="1">
        <v>45260</v>
      </c>
      <c r="B1193">
        <v>577</v>
      </c>
      <c r="C1193">
        <v>5.2264809999999998E-3</v>
      </c>
      <c r="D1193">
        <v>945</v>
      </c>
      <c r="E1193">
        <v>-3.1645570000000001E-3</v>
      </c>
      <c r="F1193">
        <v>8.391038E-3</v>
      </c>
      <c r="G1193">
        <v>8.391038E-3</v>
      </c>
      <c r="H1193">
        <v>9.445653E-3</v>
      </c>
      <c r="I1193">
        <v>1.241417E-2</v>
      </c>
      <c r="J1193">
        <v>1</v>
      </c>
      <c r="K1193">
        <v>0</v>
      </c>
      <c r="L1193">
        <v>0</v>
      </c>
      <c r="M1193">
        <v>5</v>
      </c>
      <c r="N1193">
        <v>0.99165258999999994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W1193">
        <v>0</v>
      </c>
      <c r="X1193">
        <v>0</v>
      </c>
      <c r="Y1193">
        <v>0</v>
      </c>
      <c r="Z1193">
        <v>1.241417E-2</v>
      </c>
      <c r="AA1193">
        <v>0</v>
      </c>
      <c r="AB1193" t="s">
        <v>33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f t="shared" si="18"/>
        <v>0</v>
      </c>
    </row>
    <row r="1194" spans="1:34" x14ac:dyDescent="0.25">
      <c r="A1194" s="1">
        <v>45261</v>
      </c>
      <c r="B1194">
        <v>579</v>
      </c>
      <c r="C1194">
        <v>3.466205E-3</v>
      </c>
      <c r="D1194">
        <v>947</v>
      </c>
      <c r="E1194">
        <v>2.1164019999999999E-3</v>
      </c>
      <c r="F1194">
        <v>1.349802E-3</v>
      </c>
      <c r="G1194">
        <v>1.349802E-3</v>
      </c>
      <c r="H1194">
        <v>9.1151909999999999E-3</v>
      </c>
      <c r="I1194">
        <v>1.0161988E-2</v>
      </c>
      <c r="J1194">
        <v>1</v>
      </c>
      <c r="K1194">
        <v>0</v>
      </c>
      <c r="L1194">
        <v>0</v>
      </c>
      <c r="M1194">
        <v>5</v>
      </c>
      <c r="N1194">
        <v>0.99865486000000003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W1194">
        <v>0</v>
      </c>
      <c r="X1194">
        <v>0</v>
      </c>
      <c r="Y1194">
        <v>0</v>
      </c>
      <c r="Z1194">
        <v>1.0161988E-2</v>
      </c>
      <c r="AA1194">
        <v>0</v>
      </c>
      <c r="AB1194" t="s">
        <v>33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f t="shared" si="18"/>
        <v>0</v>
      </c>
    </row>
    <row r="1195" spans="1:34" x14ac:dyDescent="0.25">
      <c r="A1195" s="1">
        <v>45264</v>
      </c>
      <c r="B1195">
        <v>574</v>
      </c>
      <c r="C1195">
        <v>-8.6355790000000009E-3</v>
      </c>
      <c r="D1195">
        <v>933</v>
      </c>
      <c r="E1195">
        <v>-1.4783526999999999E-2</v>
      </c>
      <c r="F1195">
        <v>6.1479480000000003E-3</v>
      </c>
      <c r="G1195">
        <v>6.1479480000000003E-3</v>
      </c>
      <c r="H1195">
        <v>7.8447110000000007E-3</v>
      </c>
      <c r="I1195">
        <v>1.015023E-2</v>
      </c>
      <c r="J1195">
        <v>1</v>
      </c>
      <c r="K1195">
        <v>0</v>
      </c>
      <c r="L1195">
        <v>0</v>
      </c>
      <c r="M1195">
        <v>5</v>
      </c>
      <c r="N1195">
        <v>2.782635795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W1195">
        <v>0</v>
      </c>
      <c r="X1195">
        <v>0</v>
      </c>
      <c r="Y1195">
        <v>0</v>
      </c>
      <c r="Z1195">
        <v>1.015023E-2</v>
      </c>
      <c r="AA1195">
        <v>0</v>
      </c>
      <c r="AB1195" t="s">
        <v>33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f t="shared" si="18"/>
        <v>0</v>
      </c>
    </row>
    <row r="1196" spans="1:34" x14ac:dyDescent="0.25">
      <c r="A1196" s="1">
        <v>45265</v>
      </c>
      <c r="B1196">
        <v>570</v>
      </c>
      <c r="C1196">
        <v>-6.9686410000000002E-3</v>
      </c>
      <c r="D1196">
        <v>929</v>
      </c>
      <c r="E1196">
        <v>-4.2872450000000003E-3</v>
      </c>
      <c r="F1196">
        <v>-2.681396E-3</v>
      </c>
      <c r="G1196">
        <v>2.681396E-3</v>
      </c>
      <c r="H1196">
        <v>6.1344040000000004E-3</v>
      </c>
      <c r="I1196">
        <v>7.9716149999999996E-3</v>
      </c>
      <c r="J1196">
        <v>0</v>
      </c>
      <c r="K1196">
        <v>0</v>
      </c>
      <c r="L1196">
        <v>0</v>
      </c>
      <c r="M1196">
        <v>5</v>
      </c>
      <c r="N1196">
        <v>1.0027002119999999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W1196">
        <v>0</v>
      </c>
      <c r="X1196">
        <v>0</v>
      </c>
      <c r="Y1196">
        <v>0</v>
      </c>
      <c r="Z1196">
        <v>7.9716149999999996E-3</v>
      </c>
      <c r="AA1196">
        <v>0</v>
      </c>
      <c r="AB1196" t="s">
        <v>33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f t="shared" si="18"/>
        <v>0</v>
      </c>
    </row>
    <row r="1197" spans="1:34" x14ac:dyDescent="0.25">
      <c r="A1197" s="1">
        <v>45266</v>
      </c>
      <c r="B1197">
        <v>570</v>
      </c>
      <c r="C1197">
        <v>0</v>
      </c>
      <c r="D1197">
        <v>927</v>
      </c>
      <c r="E1197">
        <v>-2.1528530000000001E-3</v>
      </c>
      <c r="F1197">
        <v>2.1528530000000001E-3</v>
      </c>
      <c r="G1197">
        <v>2.1528530000000001E-3</v>
      </c>
      <c r="H1197">
        <v>6.1828789999999996E-3</v>
      </c>
      <c r="I1197">
        <v>6.2620899999999997E-3</v>
      </c>
      <c r="J1197">
        <v>1</v>
      </c>
      <c r="K1197">
        <v>0</v>
      </c>
      <c r="L1197">
        <v>0</v>
      </c>
      <c r="M1197">
        <v>5</v>
      </c>
      <c r="N1197" t="s">
        <v>36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W1197">
        <v>0</v>
      </c>
      <c r="X1197">
        <v>0</v>
      </c>
      <c r="Y1197">
        <v>0</v>
      </c>
      <c r="Z1197">
        <v>6.2620899999999997E-3</v>
      </c>
      <c r="AA1197">
        <v>0</v>
      </c>
      <c r="AB1197" t="s">
        <v>33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f t="shared" si="18"/>
        <v>0</v>
      </c>
    </row>
    <row r="1198" spans="1:34" x14ac:dyDescent="0.25">
      <c r="A1198" s="1">
        <v>45267</v>
      </c>
      <c r="B1198">
        <v>566</v>
      </c>
      <c r="C1198">
        <v>-7.0175439999999997E-3</v>
      </c>
      <c r="D1198">
        <v>931</v>
      </c>
      <c r="E1198">
        <v>4.3149950000000003E-3</v>
      </c>
      <c r="F1198">
        <v>-1.1332538E-2</v>
      </c>
      <c r="G1198">
        <v>1.1332538E-2</v>
      </c>
      <c r="H1198">
        <v>5.2680310000000003E-3</v>
      </c>
      <c r="I1198">
        <v>7.4314239999999998E-3</v>
      </c>
      <c r="J1198">
        <v>0</v>
      </c>
      <c r="K1198">
        <v>1</v>
      </c>
      <c r="L1198">
        <v>1</v>
      </c>
      <c r="M1198">
        <v>5</v>
      </c>
      <c r="N1198">
        <v>1.0114126269999999</v>
      </c>
      <c r="O1198">
        <v>6</v>
      </c>
      <c r="P1198">
        <v>-5</v>
      </c>
      <c r="Q1198">
        <v>11</v>
      </c>
      <c r="R1198">
        <v>-3396</v>
      </c>
      <c r="S1198">
        <v>4655</v>
      </c>
      <c r="T1198">
        <v>0</v>
      </c>
      <c r="U1198">
        <v>0</v>
      </c>
      <c r="V1198" t="s">
        <v>34</v>
      </c>
      <c r="W1198">
        <v>-3396</v>
      </c>
      <c r="X1198">
        <v>4655</v>
      </c>
      <c r="Y1198">
        <v>0</v>
      </c>
      <c r="Z1198">
        <v>7.4314239999999998E-3</v>
      </c>
      <c r="AA1198">
        <v>8051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8051</v>
      </c>
      <c r="AH1198">
        <f t="shared" si="18"/>
        <v>0</v>
      </c>
    </row>
    <row r="1199" spans="1:34" x14ac:dyDescent="0.25">
      <c r="A1199" s="1">
        <v>45268</v>
      </c>
      <c r="B1199">
        <v>570</v>
      </c>
      <c r="C1199">
        <v>7.0671379999999997E-3</v>
      </c>
      <c r="D1199">
        <v>943</v>
      </c>
      <c r="E1199">
        <v>1.2889365999999999E-2</v>
      </c>
      <c r="F1199">
        <v>-5.8222279999999996E-3</v>
      </c>
      <c r="G1199">
        <v>5.8222279999999996E-3</v>
      </c>
      <c r="H1199">
        <v>6.5942450000000003E-3</v>
      </c>
      <c r="I1199">
        <v>1.02846E-2</v>
      </c>
      <c r="J1199">
        <v>0</v>
      </c>
      <c r="K1199">
        <v>1</v>
      </c>
      <c r="L1199">
        <v>0</v>
      </c>
      <c r="M1199">
        <v>5</v>
      </c>
      <c r="N1199">
        <v>3.017344112</v>
      </c>
      <c r="O1199">
        <v>-6</v>
      </c>
      <c r="P1199">
        <v>5</v>
      </c>
      <c r="Q1199">
        <v>11</v>
      </c>
      <c r="R1199">
        <v>3420</v>
      </c>
      <c r="S1199">
        <v>-4715</v>
      </c>
      <c r="T1199">
        <v>24</v>
      </c>
      <c r="U1199">
        <v>-60</v>
      </c>
      <c r="V1199" t="s">
        <v>37</v>
      </c>
      <c r="W1199">
        <v>0</v>
      </c>
      <c r="X1199">
        <v>0</v>
      </c>
      <c r="Y1199">
        <v>0</v>
      </c>
      <c r="Z1199">
        <v>1.02846E-2</v>
      </c>
      <c r="AA1199">
        <v>8135</v>
      </c>
      <c r="AB1199">
        <v>0</v>
      </c>
      <c r="AC1199">
        <v>-36</v>
      </c>
      <c r="AD1199">
        <v>-4.4253230000000001E-3</v>
      </c>
      <c r="AE1199">
        <v>0</v>
      </c>
      <c r="AF1199">
        <v>0</v>
      </c>
      <c r="AG1199">
        <v>0</v>
      </c>
      <c r="AH1199">
        <f t="shared" si="18"/>
        <v>0</v>
      </c>
    </row>
    <row r="1200" spans="1:34" x14ac:dyDescent="0.25">
      <c r="A1200" s="1">
        <v>45271</v>
      </c>
      <c r="B1200">
        <v>574</v>
      </c>
      <c r="C1200">
        <v>7.0175439999999997E-3</v>
      </c>
      <c r="D1200">
        <v>941</v>
      </c>
      <c r="E1200">
        <v>-2.1208910000000002E-3</v>
      </c>
      <c r="F1200">
        <v>9.1384350000000003E-3</v>
      </c>
      <c r="G1200">
        <v>9.1384350000000003E-3</v>
      </c>
      <c r="H1200">
        <v>7.0177690000000001E-3</v>
      </c>
      <c r="I1200">
        <v>7.0236530000000004E-3</v>
      </c>
      <c r="J1200">
        <v>1</v>
      </c>
      <c r="K1200">
        <v>0</v>
      </c>
      <c r="L1200">
        <v>-1</v>
      </c>
      <c r="M1200">
        <v>5</v>
      </c>
      <c r="N1200">
        <v>0.49546262400000002</v>
      </c>
      <c r="O1200">
        <v>-6</v>
      </c>
      <c r="P1200">
        <v>5</v>
      </c>
      <c r="Q1200">
        <v>11</v>
      </c>
      <c r="R1200">
        <v>3444</v>
      </c>
      <c r="S1200">
        <v>-4705</v>
      </c>
      <c r="T1200">
        <v>48</v>
      </c>
      <c r="U1200">
        <v>-50</v>
      </c>
      <c r="V1200" t="s">
        <v>35</v>
      </c>
      <c r="W1200">
        <v>3444</v>
      </c>
      <c r="X1200">
        <v>-4705</v>
      </c>
      <c r="Y1200">
        <v>-2</v>
      </c>
      <c r="Z1200">
        <v>7.0236530000000004E-3</v>
      </c>
      <c r="AA1200">
        <v>8149</v>
      </c>
      <c r="AB1200">
        <v>0</v>
      </c>
      <c r="AC1200">
        <v>-2</v>
      </c>
      <c r="AD1200">
        <v>-2.4542900000000002E-4</v>
      </c>
      <c r="AE1200">
        <v>0</v>
      </c>
      <c r="AF1200">
        <v>-2</v>
      </c>
      <c r="AG1200">
        <v>0</v>
      </c>
      <c r="AH1200">
        <f t="shared" si="18"/>
        <v>-2.4542888697999754E-4</v>
      </c>
    </row>
    <row r="1201" spans="1:34" x14ac:dyDescent="0.25">
      <c r="A1201" s="1">
        <v>45272</v>
      </c>
      <c r="B1201">
        <v>578</v>
      </c>
      <c r="C1201">
        <v>6.9686410000000002E-3</v>
      </c>
      <c r="D1201">
        <v>939</v>
      </c>
      <c r="E1201">
        <v>-2.125399E-3</v>
      </c>
      <c r="F1201">
        <v>9.0940399999999994E-3</v>
      </c>
      <c r="G1201">
        <v>9.0940399999999994E-3</v>
      </c>
      <c r="H1201">
        <v>6.2768950000000002E-3</v>
      </c>
      <c r="I1201">
        <v>6.6154109999999999E-3</v>
      </c>
      <c r="J1201">
        <v>1</v>
      </c>
      <c r="K1201">
        <v>1</v>
      </c>
      <c r="L1201">
        <v>1</v>
      </c>
      <c r="M1201">
        <v>5</v>
      </c>
      <c r="N1201">
        <v>0.49548444699999999</v>
      </c>
      <c r="O1201">
        <v>-3</v>
      </c>
      <c r="P1201">
        <v>5</v>
      </c>
      <c r="Q1201">
        <v>8</v>
      </c>
      <c r="R1201">
        <v>1734</v>
      </c>
      <c r="S1201">
        <v>-4695</v>
      </c>
      <c r="T1201">
        <v>0</v>
      </c>
      <c r="U1201">
        <v>0</v>
      </c>
      <c r="V1201" t="s">
        <v>34</v>
      </c>
      <c r="W1201">
        <v>1734</v>
      </c>
      <c r="X1201">
        <v>-4695</v>
      </c>
      <c r="Y1201">
        <v>0</v>
      </c>
      <c r="Z1201">
        <v>6.6154109999999999E-3</v>
      </c>
      <c r="AA1201">
        <v>6429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6429</v>
      </c>
      <c r="AH1201">
        <f t="shared" si="18"/>
        <v>0</v>
      </c>
    </row>
    <row r="1202" spans="1:34" x14ac:dyDescent="0.25">
      <c r="A1202" s="1">
        <v>45273</v>
      </c>
      <c r="B1202">
        <v>577</v>
      </c>
      <c r="C1202">
        <v>-1.7301040000000001E-3</v>
      </c>
      <c r="D1202">
        <v>955</v>
      </c>
      <c r="E1202">
        <v>1.7039404000000001E-2</v>
      </c>
      <c r="F1202">
        <v>-1.8769507000000001E-2</v>
      </c>
      <c r="G1202">
        <v>1.8769507000000001E-2</v>
      </c>
      <c r="H1202">
        <v>6.5135549999999999E-3</v>
      </c>
      <c r="I1202">
        <v>8.7198339999999992E-3</v>
      </c>
      <c r="J1202">
        <v>0</v>
      </c>
      <c r="K1202">
        <v>0</v>
      </c>
      <c r="L1202">
        <v>-1</v>
      </c>
      <c r="M1202">
        <v>5</v>
      </c>
      <c r="N1202">
        <v>16.300832589999999</v>
      </c>
      <c r="O1202">
        <v>3</v>
      </c>
      <c r="P1202">
        <v>-5</v>
      </c>
      <c r="Q1202">
        <v>8</v>
      </c>
      <c r="R1202">
        <v>-1731</v>
      </c>
      <c r="S1202">
        <v>4775</v>
      </c>
      <c r="T1202">
        <v>3</v>
      </c>
      <c r="U1202">
        <v>80</v>
      </c>
      <c r="V1202" t="s">
        <v>35</v>
      </c>
      <c r="W1202">
        <v>-1731</v>
      </c>
      <c r="X1202">
        <v>4775</v>
      </c>
      <c r="Y1202">
        <v>83</v>
      </c>
      <c r="Z1202">
        <v>8.7198339999999992E-3</v>
      </c>
      <c r="AA1202">
        <v>6506</v>
      </c>
      <c r="AB1202">
        <v>0</v>
      </c>
      <c r="AC1202">
        <v>83</v>
      </c>
      <c r="AD1202">
        <v>1.2757454999999999E-2</v>
      </c>
      <c r="AE1202">
        <v>0</v>
      </c>
      <c r="AF1202">
        <v>83</v>
      </c>
      <c r="AG1202">
        <v>0</v>
      </c>
      <c r="AH1202">
        <f t="shared" si="18"/>
        <v>1.2757454657239471E-2</v>
      </c>
    </row>
    <row r="1203" spans="1:34" x14ac:dyDescent="0.25">
      <c r="A1203" s="1">
        <v>45274</v>
      </c>
      <c r="B1203">
        <v>582</v>
      </c>
      <c r="C1203">
        <v>8.6655110000000007E-3</v>
      </c>
      <c r="D1203">
        <v>966</v>
      </c>
      <c r="E1203">
        <v>1.1518324999999999E-2</v>
      </c>
      <c r="F1203">
        <v>-2.8528130000000001E-3</v>
      </c>
      <c r="G1203">
        <v>2.8528130000000001E-3</v>
      </c>
      <c r="H1203">
        <v>4.1582099999999999E-3</v>
      </c>
      <c r="I1203">
        <v>8.9635979999999997E-3</v>
      </c>
      <c r="J1203">
        <v>0</v>
      </c>
      <c r="K1203">
        <v>0</v>
      </c>
      <c r="L1203">
        <v>0</v>
      </c>
      <c r="M1203">
        <v>5</v>
      </c>
      <c r="N1203">
        <v>2.20622227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W1203">
        <v>0</v>
      </c>
      <c r="X1203">
        <v>0</v>
      </c>
      <c r="Y1203">
        <v>0</v>
      </c>
      <c r="Z1203">
        <v>8.9635979999999997E-3</v>
      </c>
      <c r="AA1203">
        <v>0</v>
      </c>
      <c r="AB1203" t="s">
        <v>33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f t="shared" si="18"/>
        <v>0</v>
      </c>
    </row>
    <row r="1204" spans="1:34" x14ac:dyDescent="0.25">
      <c r="A1204" s="1">
        <v>45275</v>
      </c>
      <c r="B1204">
        <v>585</v>
      </c>
      <c r="C1204">
        <v>5.1546389999999999E-3</v>
      </c>
      <c r="D1204">
        <v>996</v>
      </c>
      <c r="E1204">
        <v>3.1055901E-2</v>
      </c>
      <c r="F1204">
        <v>-2.5901260999999998E-2</v>
      </c>
      <c r="G1204">
        <v>2.5901260999999998E-2</v>
      </c>
      <c r="H1204">
        <v>4.0764130000000001E-3</v>
      </c>
      <c r="I1204">
        <v>1.3994543999999999E-2</v>
      </c>
      <c r="J1204">
        <v>0</v>
      </c>
      <c r="K1204">
        <v>1</v>
      </c>
      <c r="L1204">
        <v>1</v>
      </c>
      <c r="M1204">
        <v>5</v>
      </c>
      <c r="N1204">
        <v>10.257684340000001</v>
      </c>
      <c r="O1204">
        <v>52</v>
      </c>
      <c r="P1204">
        <v>-5</v>
      </c>
      <c r="Q1204">
        <v>57</v>
      </c>
      <c r="R1204">
        <v>-30420</v>
      </c>
      <c r="S1204">
        <v>4980</v>
      </c>
      <c r="T1204">
        <v>0</v>
      </c>
      <c r="U1204">
        <v>0</v>
      </c>
      <c r="V1204" t="s">
        <v>34</v>
      </c>
      <c r="W1204">
        <v>-30420</v>
      </c>
      <c r="X1204">
        <v>4980</v>
      </c>
      <c r="Y1204">
        <v>0</v>
      </c>
      <c r="Z1204">
        <v>1.3994543999999999E-2</v>
      </c>
      <c r="AA1204">
        <v>35400</v>
      </c>
      <c r="AB1204">
        <v>0.01</v>
      </c>
      <c r="AC1204">
        <v>0</v>
      </c>
      <c r="AD1204">
        <v>0</v>
      </c>
      <c r="AE1204">
        <v>0</v>
      </c>
      <c r="AF1204">
        <v>0</v>
      </c>
      <c r="AG1204">
        <v>35400</v>
      </c>
      <c r="AH1204">
        <f t="shared" si="18"/>
        <v>0</v>
      </c>
    </row>
    <row r="1205" spans="1:34" x14ac:dyDescent="0.25">
      <c r="A1205" s="1">
        <v>45278</v>
      </c>
      <c r="B1205">
        <v>585</v>
      </c>
      <c r="C1205">
        <v>0</v>
      </c>
      <c r="D1205">
        <v>989</v>
      </c>
      <c r="E1205">
        <v>-7.0281120000000004E-3</v>
      </c>
      <c r="F1205">
        <v>7.0281120000000004E-3</v>
      </c>
      <c r="G1205">
        <v>7.0281120000000004E-3</v>
      </c>
      <c r="H1205">
        <v>4.4880370000000003E-3</v>
      </c>
      <c r="I1205">
        <v>1.5265558E-2</v>
      </c>
      <c r="J1205">
        <v>1</v>
      </c>
      <c r="K1205">
        <v>0</v>
      </c>
      <c r="L1205">
        <v>-1</v>
      </c>
      <c r="M1205">
        <v>5</v>
      </c>
      <c r="N1205" t="s">
        <v>36</v>
      </c>
      <c r="O1205">
        <v>-52</v>
      </c>
      <c r="P1205">
        <v>5</v>
      </c>
      <c r="Q1205">
        <v>57</v>
      </c>
      <c r="R1205">
        <v>30420</v>
      </c>
      <c r="S1205">
        <v>-4945</v>
      </c>
      <c r="T1205">
        <v>0</v>
      </c>
      <c r="U1205">
        <v>35</v>
      </c>
      <c r="V1205" t="s">
        <v>35</v>
      </c>
      <c r="W1205">
        <v>30420</v>
      </c>
      <c r="X1205">
        <v>-4945</v>
      </c>
      <c r="Y1205">
        <v>35</v>
      </c>
      <c r="Z1205">
        <v>1.5265558E-2</v>
      </c>
      <c r="AA1205">
        <v>35365</v>
      </c>
      <c r="AB1205">
        <v>0.01</v>
      </c>
      <c r="AC1205">
        <v>35</v>
      </c>
      <c r="AD1205">
        <v>9.8967900000000004E-4</v>
      </c>
      <c r="AE1205">
        <v>0</v>
      </c>
      <c r="AF1205">
        <v>35</v>
      </c>
      <c r="AG1205">
        <v>0</v>
      </c>
      <c r="AH1205">
        <f t="shared" si="18"/>
        <v>9.8967906121871915E-4</v>
      </c>
    </row>
    <row r="1206" spans="1:34" x14ac:dyDescent="0.25">
      <c r="A1206" s="1">
        <v>45279</v>
      </c>
      <c r="B1206">
        <v>585</v>
      </c>
      <c r="C1206">
        <v>0</v>
      </c>
      <c r="D1206">
        <v>992</v>
      </c>
      <c r="E1206">
        <v>3.0333669999999999E-3</v>
      </c>
      <c r="F1206">
        <v>-3.0333669999999999E-3</v>
      </c>
      <c r="G1206">
        <v>3.0333669999999999E-3</v>
      </c>
      <c r="H1206">
        <v>4.3422579999999999E-3</v>
      </c>
      <c r="I1206">
        <v>1.4382156E-2</v>
      </c>
      <c r="J1206">
        <v>0</v>
      </c>
      <c r="K1206">
        <v>0</v>
      </c>
      <c r="L1206">
        <v>0</v>
      </c>
      <c r="M1206">
        <v>5</v>
      </c>
      <c r="N1206" t="s">
        <v>36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W1206">
        <v>0</v>
      </c>
      <c r="X1206">
        <v>0</v>
      </c>
      <c r="Y1206">
        <v>0</v>
      </c>
      <c r="Z1206">
        <v>1.4382156E-2</v>
      </c>
      <c r="AA1206">
        <v>0</v>
      </c>
      <c r="AB1206" t="s">
        <v>33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f t="shared" si="18"/>
        <v>0</v>
      </c>
    </row>
    <row r="1207" spans="1:34" x14ac:dyDescent="0.25">
      <c r="A1207" s="1">
        <v>45280</v>
      </c>
      <c r="B1207">
        <v>585</v>
      </c>
      <c r="C1207">
        <v>0</v>
      </c>
      <c r="D1207">
        <v>983</v>
      </c>
      <c r="E1207">
        <v>-9.0725809999999997E-3</v>
      </c>
      <c r="F1207">
        <v>9.0725809999999997E-3</v>
      </c>
      <c r="G1207">
        <v>9.0725809999999997E-3</v>
      </c>
      <c r="H1207">
        <v>3.983154E-3</v>
      </c>
      <c r="I1207">
        <v>1.6308868000000001E-2</v>
      </c>
      <c r="J1207">
        <v>1</v>
      </c>
      <c r="K1207">
        <v>0</v>
      </c>
      <c r="L1207">
        <v>0</v>
      </c>
      <c r="M1207">
        <v>5</v>
      </c>
      <c r="N1207" t="s">
        <v>36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W1207">
        <v>0</v>
      </c>
      <c r="X1207">
        <v>0</v>
      </c>
      <c r="Y1207">
        <v>0</v>
      </c>
      <c r="Z1207">
        <v>1.6308868000000001E-2</v>
      </c>
      <c r="AA1207">
        <v>0</v>
      </c>
      <c r="AB1207" t="s">
        <v>33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f t="shared" si="18"/>
        <v>0</v>
      </c>
    </row>
    <row r="1208" spans="1:34" x14ac:dyDescent="0.25">
      <c r="A1208" s="1">
        <v>45281</v>
      </c>
      <c r="B1208">
        <v>577</v>
      </c>
      <c r="C1208">
        <v>-1.3675214E-2</v>
      </c>
      <c r="D1208">
        <v>976</v>
      </c>
      <c r="E1208">
        <v>-7.1210580000000004E-3</v>
      </c>
      <c r="F1208">
        <v>-6.5541560000000002E-3</v>
      </c>
      <c r="G1208">
        <v>6.5541560000000002E-3</v>
      </c>
      <c r="H1208">
        <v>7.0544620000000001E-3</v>
      </c>
      <c r="I1208">
        <v>1.682606E-2</v>
      </c>
      <c r="J1208">
        <v>0</v>
      </c>
      <c r="K1208">
        <v>0</v>
      </c>
      <c r="L1208">
        <v>0</v>
      </c>
      <c r="M1208">
        <v>5</v>
      </c>
      <c r="N1208">
        <v>0.88081439900000003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W1208">
        <v>0</v>
      </c>
      <c r="X1208">
        <v>0</v>
      </c>
      <c r="Y1208">
        <v>0</v>
      </c>
      <c r="Z1208">
        <v>1.682606E-2</v>
      </c>
      <c r="AA1208">
        <v>0</v>
      </c>
      <c r="AB1208" t="s">
        <v>33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f t="shared" si="18"/>
        <v>0</v>
      </c>
    </row>
    <row r="1209" spans="1:34" x14ac:dyDescent="0.25">
      <c r="A1209" s="1">
        <v>45282</v>
      </c>
      <c r="B1209">
        <v>582</v>
      </c>
      <c r="C1209">
        <v>8.6655110000000007E-3</v>
      </c>
      <c r="D1209">
        <v>990</v>
      </c>
      <c r="E1209">
        <v>1.4344262E-2</v>
      </c>
      <c r="F1209">
        <v>-5.6787510000000001E-3</v>
      </c>
      <c r="G1209">
        <v>5.6787510000000001E-3</v>
      </c>
      <c r="H1209">
        <v>8.0169060000000007E-3</v>
      </c>
      <c r="I1209">
        <v>9.8810930000000005E-3</v>
      </c>
      <c r="J1209">
        <v>0</v>
      </c>
      <c r="K1209">
        <v>0</v>
      </c>
      <c r="L1209">
        <v>0</v>
      </c>
      <c r="M1209">
        <v>5</v>
      </c>
      <c r="N1209">
        <v>2.815763901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W1209">
        <v>0</v>
      </c>
      <c r="X1209">
        <v>0</v>
      </c>
      <c r="Y1209">
        <v>0</v>
      </c>
      <c r="Z1209">
        <v>9.8810930000000005E-3</v>
      </c>
      <c r="AA1209">
        <v>0</v>
      </c>
      <c r="AB1209" t="s">
        <v>33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f t="shared" si="18"/>
        <v>0</v>
      </c>
    </row>
    <row r="1210" spans="1:34" x14ac:dyDescent="0.25">
      <c r="A1210" s="1">
        <v>45285</v>
      </c>
      <c r="B1210">
        <v>581</v>
      </c>
      <c r="C1210">
        <v>-1.7182129999999999E-3</v>
      </c>
      <c r="D1210">
        <v>995</v>
      </c>
      <c r="E1210">
        <v>5.0505050000000003E-3</v>
      </c>
      <c r="F1210">
        <v>-6.768718E-3</v>
      </c>
      <c r="G1210">
        <v>6.768718E-3</v>
      </c>
      <c r="H1210">
        <v>8.0000290000000005E-3</v>
      </c>
      <c r="I1210">
        <v>9.5618270000000002E-3</v>
      </c>
      <c r="J1210">
        <v>0</v>
      </c>
      <c r="K1210">
        <v>0</v>
      </c>
      <c r="L1210">
        <v>0</v>
      </c>
      <c r="M1210">
        <v>5</v>
      </c>
      <c r="N1210">
        <v>5.0339018409999996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W1210">
        <v>0</v>
      </c>
      <c r="X1210">
        <v>0</v>
      </c>
      <c r="Y1210">
        <v>0</v>
      </c>
      <c r="Z1210">
        <v>9.5618270000000002E-3</v>
      </c>
      <c r="AA1210">
        <v>0</v>
      </c>
      <c r="AB1210" t="s">
        <v>33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f t="shared" si="18"/>
        <v>0</v>
      </c>
    </row>
    <row r="1211" spans="1:34" x14ac:dyDescent="0.25">
      <c r="A1211" s="1">
        <v>45286</v>
      </c>
      <c r="B1211">
        <v>586</v>
      </c>
      <c r="C1211">
        <v>8.6058520000000006E-3</v>
      </c>
      <c r="D1211">
        <v>1000</v>
      </c>
      <c r="E1211">
        <v>5.0251260000000004E-3</v>
      </c>
      <c r="F1211">
        <v>3.5807259999999998E-3</v>
      </c>
      <c r="G1211">
        <v>3.5807259999999998E-3</v>
      </c>
      <c r="H1211">
        <v>9.1979639999999994E-3</v>
      </c>
      <c r="I1211">
        <v>9.6954150000000006E-3</v>
      </c>
      <c r="J1211">
        <v>1</v>
      </c>
      <c r="K1211">
        <v>0</v>
      </c>
      <c r="L1211">
        <v>0</v>
      </c>
      <c r="M1211">
        <v>5</v>
      </c>
      <c r="N1211">
        <v>0.99644982599999998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W1211">
        <v>0</v>
      </c>
      <c r="X1211">
        <v>0</v>
      </c>
      <c r="Y1211">
        <v>0</v>
      </c>
      <c r="Z1211">
        <v>9.6954150000000006E-3</v>
      </c>
      <c r="AA1211">
        <v>0</v>
      </c>
      <c r="AB1211" t="s">
        <v>33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f t="shared" si="18"/>
        <v>0</v>
      </c>
    </row>
    <row r="1212" spans="1:34" x14ac:dyDescent="0.25">
      <c r="A1212" s="1">
        <v>45287</v>
      </c>
      <c r="B1212">
        <v>592</v>
      </c>
      <c r="C1212">
        <v>1.0238908E-2</v>
      </c>
      <c r="D1212">
        <v>1040</v>
      </c>
      <c r="E1212">
        <v>0.04</v>
      </c>
      <c r="F1212">
        <v>-2.9761091999999999E-2</v>
      </c>
      <c r="G1212">
        <v>2.9761091999999999E-2</v>
      </c>
      <c r="H1212">
        <v>1.0180707000000001E-2</v>
      </c>
      <c r="I1212">
        <v>1.7681880000000001E-2</v>
      </c>
      <c r="J1212">
        <v>0</v>
      </c>
      <c r="K1212">
        <v>1</v>
      </c>
      <c r="L1212">
        <v>1</v>
      </c>
      <c r="M1212">
        <v>5</v>
      </c>
      <c r="N1212">
        <v>6.8630630630000002</v>
      </c>
      <c r="O1212">
        <v>35</v>
      </c>
      <c r="P1212">
        <v>-5</v>
      </c>
      <c r="Q1212">
        <v>40</v>
      </c>
      <c r="R1212">
        <v>-20720</v>
      </c>
      <c r="S1212">
        <v>5200</v>
      </c>
      <c r="T1212">
        <v>0</v>
      </c>
      <c r="U1212">
        <v>0</v>
      </c>
      <c r="V1212" t="s">
        <v>34</v>
      </c>
      <c r="W1212">
        <v>-20720</v>
      </c>
      <c r="X1212">
        <v>5200</v>
      </c>
      <c r="Y1212">
        <v>0</v>
      </c>
      <c r="Z1212">
        <v>1.7681880000000001E-2</v>
      </c>
      <c r="AA1212">
        <v>25920</v>
      </c>
      <c r="AB1212">
        <v>0.01</v>
      </c>
      <c r="AC1212">
        <v>0</v>
      </c>
      <c r="AD1212">
        <v>0</v>
      </c>
      <c r="AE1212">
        <v>0</v>
      </c>
      <c r="AF1212">
        <v>0</v>
      </c>
      <c r="AG1212">
        <v>25920</v>
      </c>
      <c r="AH1212">
        <f t="shared" si="18"/>
        <v>0</v>
      </c>
    </row>
    <row r="1213" spans="1:34" x14ac:dyDescent="0.25">
      <c r="A1213" s="1">
        <v>45288</v>
      </c>
      <c r="B1213">
        <v>593</v>
      </c>
      <c r="C1213">
        <v>1.689189E-3</v>
      </c>
      <c r="D1213">
        <v>1025</v>
      </c>
      <c r="E1213">
        <v>-1.4423076999999999E-2</v>
      </c>
      <c r="F1213">
        <v>1.6112266E-2</v>
      </c>
      <c r="G1213">
        <v>1.6112266E-2</v>
      </c>
      <c r="H1213">
        <v>5.214135E-3</v>
      </c>
      <c r="I1213">
        <v>1.9777552E-2</v>
      </c>
      <c r="J1213">
        <v>1</v>
      </c>
      <c r="K1213">
        <v>0</v>
      </c>
      <c r="L1213">
        <v>-1</v>
      </c>
      <c r="M1213">
        <v>5</v>
      </c>
      <c r="N1213">
        <v>14.758723570000001</v>
      </c>
      <c r="O1213">
        <v>-35</v>
      </c>
      <c r="P1213">
        <v>5</v>
      </c>
      <c r="Q1213">
        <v>40</v>
      </c>
      <c r="R1213">
        <v>20755</v>
      </c>
      <c r="S1213">
        <v>-5125</v>
      </c>
      <c r="T1213">
        <v>35</v>
      </c>
      <c r="U1213">
        <v>75</v>
      </c>
      <c r="V1213" t="s">
        <v>35</v>
      </c>
      <c r="W1213">
        <v>20755</v>
      </c>
      <c r="X1213">
        <v>-5125</v>
      </c>
      <c r="Y1213">
        <v>110</v>
      </c>
      <c r="Z1213">
        <v>1.9777552E-2</v>
      </c>
      <c r="AA1213">
        <v>25880</v>
      </c>
      <c r="AB1213">
        <v>0.01</v>
      </c>
      <c r="AC1213">
        <v>110</v>
      </c>
      <c r="AD1213">
        <v>4.2503860000000001E-3</v>
      </c>
      <c r="AE1213">
        <v>0</v>
      </c>
      <c r="AF1213">
        <v>110</v>
      </c>
      <c r="AG1213">
        <v>0</v>
      </c>
      <c r="AH1213">
        <f t="shared" si="18"/>
        <v>4.250386398763524E-3</v>
      </c>
    </row>
    <row r="1214" spans="1:34" x14ac:dyDescent="0.25">
      <c r="A1214" s="1">
        <v>45289</v>
      </c>
      <c r="B1214">
        <v>593</v>
      </c>
      <c r="C1214">
        <v>0</v>
      </c>
      <c r="D1214">
        <v>1015</v>
      </c>
      <c r="E1214">
        <v>-9.7560979999999995E-3</v>
      </c>
      <c r="F1214">
        <v>9.7560979999999995E-3</v>
      </c>
      <c r="G1214">
        <v>9.7560979999999995E-3</v>
      </c>
      <c r="H1214">
        <v>5.3360839999999996E-3</v>
      </c>
      <c r="I1214">
        <v>2.1329796000000002E-2</v>
      </c>
      <c r="J1214">
        <v>1</v>
      </c>
      <c r="K1214">
        <v>0</v>
      </c>
      <c r="L1214">
        <v>0</v>
      </c>
      <c r="M1214">
        <v>5</v>
      </c>
      <c r="N1214" t="s">
        <v>36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W1214">
        <v>0</v>
      </c>
      <c r="X1214">
        <v>0</v>
      </c>
      <c r="Y1214">
        <v>0</v>
      </c>
      <c r="Z1214">
        <v>2.1329796000000002E-2</v>
      </c>
      <c r="AA1214">
        <v>0</v>
      </c>
      <c r="AB1214" t="s">
        <v>33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f t="shared" si="18"/>
        <v>0</v>
      </c>
    </row>
    <row r="1215" spans="1:34" x14ac:dyDescent="0.25">
      <c r="A1215" s="1">
        <v>45293</v>
      </c>
      <c r="B1215">
        <v>593</v>
      </c>
      <c r="C1215">
        <v>0</v>
      </c>
      <c r="D1215">
        <v>981</v>
      </c>
      <c r="E1215">
        <v>-3.3497537000000001E-2</v>
      </c>
      <c r="F1215">
        <v>3.3497537000000001E-2</v>
      </c>
      <c r="G1215">
        <v>3.3497537000000001E-2</v>
      </c>
      <c r="H1215">
        <v>4.9350949999999996E-3</v>
      </c>
      <c r="I1215">
        <v>2.7470578999999998E-2</v>
      </c>
      <c r="J1215">
        <v>1</v>
      </c>
      <c r="K1215">
        <v>0</v>
      </c>
      <c r="L1215">
        <v>0</v>
      </c>
      <c r="M1215">
        <v>5</v>
      </c>
      <c r="N1215" t="s">
        <v>36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W1215">
        <v>0</v>
      </c>
      <c r="X1215">
        <v>0</v>
      </c>
      <c r="Y1215">
        <v>0</v>
      </c>
      <c r="Z1215">
        <v>2.7470578999999998E-2</v>
      </c>
      <c r="AA1215">
        <v>0</v>
      </c>
      <c r="AB1215" t="s">
        <v>33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f t="shared" si="18"/>
        <v>0</v>
      </c>
    </row>
    <row r="1216" spans="1:34" x14ac:dyDescent="0.25">
      <c r="A1216" s="1">
        <v>45294</v>
      </c>
      <c r="B1216">
        <v>578</v>
      </c>
      <c r="C1216">
        <v>-2.5295109999999999E-2</v>
      </c>
      <c r="D1216">
        <v>953</v>
      </c>
      <c r="E1216">
        <v>-2.8542304000000001E-2</v>
      </c>
      <c r="F1216">
        <v>3.2471940000000001E-3</v>
      </c>
      <c r="G1216">
        <v>3.2471940000000001E-3</v>
      </c>
      <c r="H1216">
        <v>1.3339749999999999E-2</v>
      </c>
      <c r="I1216">
        <v>2.9209224999999998E-2</v>
      </c>
      <c r="J1216">
        <v>1</v>
      </c>
      <c r="K1216">
        <v>0</v>
      </c>
      <c r="L1216">
        <v>0</v>
      </c>
      <c r="M1216">
        <v>5</v>
      </c>
      <c r="N1216">
        <v>1.860447934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W1216">
        <v>0</v>
      </c>
      <c r="X1216">
        <v>0</v>
      </c>
      <c r="Y1216">
        <v>0</v>
      </c>
      <c r="Z1216">
        <v>2.9209224999999998E-2</v>
      </c>
      <c r="AA1216">
        <v>0</v>
      </c>
      <c r="AB1216" t="s">
        <v>33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f t="shared" si="18"/>
        <v>0</v>
      </c>
    </row>
    <row r="1217" spans="1:34" x14ac:dyDescent="0.25">
      <c r="A1217" s="1">
        <v>45295</v>
      </c>
      <c r="B1217">
        <v>580</v>
      </c>
      <c r="C1217">
        <v>3.4602080000000002E-3</v>
      </c>
      <c r="D1217">
        <v>928</v>
      </c>
      <c r="E1217">
        <v>-2.6232948999999998E-2</v>
      </c>
      <c r="F1217">
        <v>2.9693155999999998E-2</v>
      </c>
      <c r="G1217">
        <v>2.9693155999999998E-2</v>
      </c>
      <c r="H1217">
        <v>1.1973920000000001E-2</v>
      </c>
      <c r="I1217">
        <v>9.9879110000000004E-3</v>
      </c>
      <c r="J1217">
        <v>1</v>
      </c>
      <c r="K1217">
        <v>1</v>
      </c>
      <c r="L1217">
        <v>1</v>
      </c>
      <c r="M1217">
        <v>5</v>
      </c>
      <c r="N1217">
        <v>12.130115419999999</v>
      </c>
      <c r="O1217">
        <v>-61</v>
      </c>
      <c r="P1217">
        <v>5</v>
      </c>
      <c r="Q1217">
        <v>66</v>
      </c>
      <c r="R1217">
        <v>35380</v>
      </c>
      <c r="S1217">
        <v>-4640</v>
      </c>
      <c r="T1217">
        <v>0</v>
      </c>
      <c r="U1217">
        <v>0</v>
      </c>
      <c r="V1217" t="s">
        <v>34</v>
      </c>
      <c r="W1217">
        <v>35380</v>
      </c>
      <c r="X1217">
        <v>-4640</v>
      </c>
      <c r="Y1217">
        <v>0</v>
      </c>
      <c r="Z1217">
        <v>1.1973920000000001E-2</v>
      </c>
      <c r="AA1217">
        <v>40020</v>
      </c>
      <c r="AB1217">
        <v>0.01</v>
      </c>
      <c r="AC1217">
        <v>0</v>
      </c>
      <c r="AD1217">
        <v>0</v>
      </c>
      <c r="AE1217">
        <v>0</v>
      </c>
      <c r="AF1217">
        <v>0</v>
      </c>
      <c r="AG1217">
        <v>40020</v>
      </c>
      <c r="AH1217">
        <f t="shared" si="18"/>
        <v>0</v>
      </c>
    </row>
    <row r="1218" spans="1:34" x14ac:dyDescent="0.25">
      <c r="A1218" s="1">
        <v>45296</v>
      </c>
      <c r="B1218">
        <v>576</v>
      </c>
      <c r="C1218">
        <v>-6.8965520000000002E-3</v>
      </c>
      <c r="D1218">
        <v>921</v>
      </c>
      <c r="E1218">
        <v>-7.5431029999999998E-3</v>
      </c>
      <c r="F1218">
        <v>6.46552E-4</v>
      </c>
      <c r="G1218">
        <v>6.46552E-4</v>
      </c>
      <c r="H1218">
        <v>1.1557235000000001E-2</v>
      </c>
      <c r="I1218">
        <v>1.1703701E-2</v>
      </c>
      <c r="J1218">
        <v>1</v>
      </c>
      <c r="K1218">
        <v>1</v>
      </c>
      <c r="L1218">
        <v>0</v>
      </c>
      <c r="M1218">
        <v>5</v>
      </c>
      <c r="N1218">
        <v>1.7488606769999999</v>
      </c>
      <c r="O1218">
        <v>61</v>
      </c>
      <c r="P1218">
        <v>-5</v>
      </c>
      <c r="Q1218">
        <v>66</v>
      </c>
      <c r="R1218">
        <v>-35136</v>
      </c>
      <c r="S1218">
        <v>4605</v>
      </c>
      <c r="T1218">
        <v>244</v>
      </c>
      <c r="U1218">
        <v>-35</v>
      </c>
      <c r="V1218" t="s">
        <v>37</v>
      </c>
      <c r="W1218">
        <v>0</v>
      </c>
      <c r="X1218">
        <v>0</v>
      </c>
      <c r="Y1218">
        <v>0</v>
      </c>
      <c r="Z1218">
        <v>1.1703701E-2</v>
      </c>
      <c r="AA1218">
        <v>39741</v>
      </c>
      <c r="AB1218">
        <v>0.01</v>
      </c>
      <c r="AC1218">
        <v>209</v>
      </c>
      <c r="AD1218">
        <v>5.2590520000000002E-3</v>
      </c>
      <c r="AE1218">
        <v>0</v>
      </c>
      <c r="AF1218">
        <v>0</v>
      </c>
      <c r="AG1218">
        <v>0</v>
      </c>
      <c r="AH1218">
        <f t="shared" si="18"/>
        <v>0</v>
      </c>
    </row>
    <row r="1219" spans="1:34" x14ac:dyDescent="0.25">
      <c r="A1219" s="1">
        <v>45299</v>
      </c>
      <c r="B1219">
        <v>583</v>
      </c>
      <c r="C1219">
        <v>1.2152777999999999E-2</v>
      </c>
      <c r="D1219">
        <v>920</v>
      </c>
      <c r="E1219">
        <v>-1.0857760000000001E-3</v>
      </c>
      <c r="F1219">
        <v>1.3238554E-2</v>
      </c>
      <c r="G1219">
        <v>1.3238554E-2</v>
      </c>
      <c r="H1219">
        <v>1.4072114E-2</v>
      </c>
      <c r="I1219">
        <v>1.4186315999999999E-2</v>
      </c>
      <c r="J1219">
        <v>1</v>
      </c>
      <c r="K1219">
        <v>1</v>
      </c>
      <c r="L1219">
        <v>0</v>
      </c>
      <c r="M1219">
        <v>5</v>
      </c>
      <c r="N1219">
        <v>0.140988628</v>
      </c>
      <c r="O1219">
        <v>61</v>
      </c>
      <c r="P1219">
        <v>-5</v>
      </c>
      <c r="Q1219">
        <v>66</v>
      </c>
      <c r="R1219">
        <v>-35563</v>
      </c>
      <c r="S1219">
        <v>4600</v>
      </c>
      <c r="T1219">
        <v>-183</v>
      </c>
      <c r="U1219">
        <v>-40</v>
      </c>
      <c r="V1219" t="s">
        <v>37</v>
      </c>
      <c r="W1219">
        <v>0</v>
      </c>
      <c r="X1219">
        <v>0</v>
      </c>
      <c r="Y1219">
        <v>0</v>
      </c>
      <c r="Z1219">
        <v>1.4186315999999999E-2</v>
      </c>
      <c r="AA1219">
        <v>40163</v>
      </c>
      <c r="AB1219">
        <v>0.01</v>
      </c>
      <c r="AC1219">
        <v>-223</v>
      </c>
      <c r="AD1219">
        <v>-5.5523739999999997E-3</v>
      </c>
      <c r="AE1219">
        <v>0</v>
      </c>
      <c r="AF1219">
        <v>0</v>
      </c>
      <c r="AG1219">
        <v>0</v>
      </c>
      <c r="AH1219">
        <f t="shared" ref="AH1219:AH1282" si="19">IF(AF1219&lt;&gt;0,AF1219/AA1219,0)</f>
        <v>0</v>
      </c>
    </row>
    <row r="1220" spans="1:34" x14ac:dyDescent="0.25">
      <c r="A1220" s="1">
        <v>45300</v>
      </c>
      <c r="B1220">
        <v>586</v>
      </c>
      <c r="C1220">
        <v>5.145798E-3</v>
      </c>
      <c r="D1220">
        <v>928</v>
      </c>
      <c r="E1220">
        <v>8.6956519999999999E-3</v>
      </c>
      <c r="F1220">
        <v>-3.5498550000000002E-3</v>
      </c>
      <c r="G1220">
        <v>3.5498550000000002E-3</v>
      </c>
      <c r="H1220">
        <v>1.4555112E-2</v>
      </c>
      <c r="I1220">
        <v>1.6108374000000002E-2</v>
      </c>
      <c r="J1220">
        <v>0</v>
      </c>
      <c r="K1220">
        <v>0</v>
      </c>
      <c r="L1220">
        <v>-1</v>
      </c>
      <c r="M1220">
        <v>5</v>
      </c>
      <c r="N1220">
        <v>2.6760844829999999</v>
      </c>
      <c r="O1220">
        <v>61</v>
      </c>
      <c r="P1220">
        <v>-5</v>
      </c>
      <c r="Q1220">
        <v>66</v>
      </c>
      <c r="R1220">
        <v>-35746</v>
      </c>
      <c r="S1220">
        <v>4640</v>
      </c>
      <c r="T1220">
        <v>-366</v>
      </c>
      <c r="U1220">
        <v>0</v>
      </c>
      <c r="V1220" t="s">
        <v>35</v>
      </c>
      <c r="W1220">
        <v>-35746</v>
      </c>
      <c r="X1220">
        <v>4640</v>
      </c>
      <c r="Y1220">
        <v>-366</v>
      </c>
      <c r="Z1220">
        <v>1.6108374000000002E-2</v>
      </c>
      <c r="AA1220">
        <v>40386</v>
      </c>
      <c r="AB1220">
        <v>0.01</v>
      </c>
      <c r="AC1220">
        <v>-366</v>
      </c>
      <c r="AD1220">
        <v>-9.0625459999999994E-3</v>
      </c>
      <c r="AE1220">
        <v>0</v>
      </c>
      <c r="AF1220">
        <v>-366</v>
      </c>
      <c r="AG1220">
        <v>0</v>
      </c>
      <c r="AH1220">
        <f t="shared" si="19"/>
        <v>-9.0625464269796473E-3</v>
      </c>
    </row>
    <row r="1221" spans="1:34" x14ac:dyDescent="0.25">
      <c r="A1221" s="1">
        <v>45301</v>
      </c>
      <c r="B1221">
        <v>584</v>
      </c>
      <c r="C1221">
        <v>-3.4129690000000001E-3</v>
      </c>
      <c r="D1221">
        <v>924</v>
      </c>
      <c r="E1221">
        <v>-4.3103450000000001E-3</v>
      </c>
      <c r="F1221">
        <v>8.9737599999999997E-4</v>
      </c>
      <c r="G1221">
        <v>8.9737599999999997E-4</v>
      </c>
      <c r="H1221">
        <v>7.4752200000000003E-3</v>
      </c>
      <c r="I1221">
        <v>1.2793306000000001E-2</v>
      </c>
      <c r="J1221">
        <v>1</v>
      </c>
      <c r="K1221">
        <v>0</v>
      </c>
      <c r="L1221">
        <v>0</v>
      </c>
      <c r="M1221">
        <v>5</v>
      </c>
      <c r="N1221">
        <v>1.9981991029999999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W1221">
        <v>0</v>
      </c>
      <c r="X1221">
        <v>0</v>
      </c>
      <c r="Y1221">
        <v>0</v>
      </c>
      <c r="Z1221">
        <v>1.2793306000000001E-2</v>
      </c>
      <c r="AA1221">
        <v>0</v>
      </c>
      <c r="AB1221" t="s">
        <v>33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f t="shared" si="19"/>
        <v>0</v>
      </c>
    </row>
    <row r="1222" spans="1:34" x14ac:dyDescent="0.25">
      <c r="A1222" s="1">
        <v>45302</v>
      </c>
      <c r="B1222">
        <v>586</v>
      </c>
      <c r="C1222">
        <v>3.4246580000000001E-3</v>
      </c>
      <c r="D1222">
        <v>920</v>
      </c>
      <c r="E1222">
        <v>-4.329004E-3</v>
      </c>
      <c r="F1222">
        <v>7.7536619999999997E-3</v>
      </c>
      <c r="G1222">
        <v>7.7536619999999997E-3</v>
      </c>
      <c r="H1222">
        <v>7.4736070000000002E-3</v>
      </c>
      <c r="I1222">
        <v>6.2512640000000003E-3</v>
      </c>
      <c r="J1222">
        <v>1</v>
      </c>
      <c r="K1222">
        <v>1</v>
      </c>
      <c r="L1222">
        <v>1</v>
      </c>
      <c r="M1222">
        <v>5</v>
      </c>
      <c r="N1222">
        <v>1.9845456020000001</v>
      </c>
      <c r="O1222">
        <v>-10</v>
      </c>
      <c r="P1222">
        <v>5</v>
      </c>
      <c r="Q1222">
        <v>15</v>
      </c>
      <c r="R1222">
        <v>5860</v>
      </c>
      <c r="S1222">
        <v>-4600</v>
      </c>
      <c r="T1222">
        <v>0</v>
      </c>
      <c r="U1222">
        <v>0</v>
      </c>
      <c r="V1222" t="s">
        <v>34</v>
      </c>
      <c r="W1222">
        <v>5860</v>
      </c>
      <c r="X1222">
        <v>-4600</v>
      </c>
      <c r="Y1222">
        <v>0</v>
      </c>
      <c r="Z1222">
        <v>7.4736070000000002E-3</v>
      </c>
      <c r="AA1222">
        <v>10460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10460</v>
      </c>
      <c r="AH1222">
        <f t="shared" si="19"/>
        <v>0</v>
      </c>
    </row>
    <row r="1223" spans="1:34" x14ac:dyDescent="0.25">
      <c r="A1223" s="1">
        <v>45303</v>
      </c>
      <c r="B1223">
        <v>584</v>
      </c>
      <c r="C1223">
        <v>-3.4129690000000001E-3</v>
      </c>
      <c r="D1223">
        <v>926</v>
      </c>
      <c r="E1223">
        <v>6.5217390000000004E-3</v>
      </c>
      <c r="F1223">
        <v>-9.9347080000000004E-3</v>
      </c>
      <c r="G1223">
        <v>9.9347080000000004E-3</v>
      </c>
      <c r="H1223">
        <v>6.5300699999999998E-3</v>
      </c>
      <c r="I1223">
        <v>6.136219E-3</v>
      </c>
      <c r="J1223">
        <v>0</v>
      </c>
      <c r="K1223">
        <v>0</v>
      </c>
      <c r="L1223">
        <v>-1</v>
      </c>
      <c r="M1223">
        <v>5</v>
      </c>
      <c r="N1223">
        <v>3.0299061940000001</v>
      </c>
      <c r="O1223">
        <v>10</v>
      </c>
      <c r="P1223">
        <v>-5</v>
      </c>
      <c r="Q1223">
        <v>15</v>
      </c>
      <c r="R1223">
        <v>-5840</v>
      </c>
      <c r="S1223">
        <v>4630</v>
      </c>
      <c r="T1223">
        <v>20</v>
      </c>
      <c r="U1223">
        <v>30</v>
      </c>
      <c r="V1223" t="s">
        <v>35</v>
      </c>
      <c r="W1223">
        <v>-5840</v>
      </c>
      <c r="X1223">
        <v>4630</v>
      </c>
      <c r="Y1223">
        <v>50</v>
      </c>
      <c r="Z1223">
        <v>6.5300699999999998E-3</v>
      </c>
      <c r="AA1223">
        <v>10470</v>
      </c>
      <c r="AB1223">
        <v>0</v>
      </c>
      <c r="AC1223">
        <v>50</v>
      </c>
      <c r="AD1223">
        <v>4.7755489999999996E-3</v>
      </c>
      <c r="AE1223">
        <v>0</v>
      </c>
      <c r="AF1223">
        <v>50</v>
      </c>
      <c r="AG1223">
        <v>0</v>
      </c>
      <c r="AH1223">
        <f t="shared" si="19"/>
        <v>4.7755491881566383E-3</v>
      </c>
    </row>
    <row r="1224" spans="1:34" x14ac:dyDescent="0.25">
      <c r="A1224" s="1">
        <v>45306</v>
      </c>
      <c r="B1224">
        <v>586</v>
      </c>
      <c r="C1224">
        <v>3.4246580000000001E-3</v>
      </c>
      <c r="D1224">
        <v>922</v>
      </c>
      <c r="E1224">
        <v>-4.319654E-3</v>
      </c>
      <c r="F1224">
        <v>7.7443119999999997E-3</v>
      </c>
      <c r="G1224">
        <v>7.7443119999999997E-3</v>
      </c>
      <c r="H1224">
        <v>4.1197220000000001E-3</v>
      </c>
      <c r="I1224">
        <v>6.5784909999999997E-3</v>
      </c>
      <c r="J1224">
        <v>1</v>
      </c>
      <c r="K1224">
        <v>1</v>
      </c>
      <c r="L1224">
        <v>1</v>
      </c>
      <c r="M1224">
        <v>5</v>
      </c>
      <c r="N1224">
        <v>1.9845642379999999</v>
      </c>
      <c r="O1224">
        <v>-10</v>
      </c>
      <c r="P1224">
        <v>5</v>
      </c>
      <c r="Q1224">
        <v>15</v>
      </c>
      <c r="R1224">
        <v>5860</v>
      </c>
      <c r="S1224">
        <v>-4610</v>
      </c>
      <c r="T1224">
        <v>0</v>
      </c>
      <c r="U1224">
        <v>0</v>
      </c>
      <c r="V1224" t="s">
        <v>34</v>
      </c>
      <c r="W1224">
        <v>5860</v>
      </c>
      <c r="X1224">
        <v>-4610</v>
      </c>
      <c r="Y1224">
        <v>0</v>
      </c>
      <c r="Z1224">
        <v>6.5784909999999997E-3</v>
      </c>
      <c r="AA1224">
        <v>10470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10470</v>
      </c>
      <c r="AH1224">
        <f t="shared" si="19"/>
        <v>0</v>
      </c>
    </row>
    <row r="1225" spans="1:34" x14ac:dyDescent="0.25">
      <c r="A1225" s="1">
        <v>45307</v>
      </c>
      <c r="B1225">
        <v>580</v>
      </c>
      <c r="C1225">
        <v>-1.0238908E-2</v>
      </c>
      <c r="D1225">
        <v>895</v>
      </c>
      <c r="E1225">
        <v>-2.9284165000000001E-2</v>
      </c>
      <c r="F1225">
        <v>1.9045256999999999E-2</v>
      </c>
      <c r="G1225">
        <v>1.9045256999999999E-2</v>
      </c>
      <c r="H1225">
        <v>5.7165790000000003E-3</v>
      </c>
      <c r="I1225">
        <v>1.3236975E-2</v>
      </c>
      <c r="J1225">
        <v>1</v>
      </c>
      <c r="K1225">
        <v>1</v>
      </c>
      <c r="L1225">
        <v>0</v>
      </c>
      <c r="M1225">
        <v>5</v>
      </c>
      <c r="N1225">
        <v>4.4134097539999999</v>
      </c>
      <c r="O1225">
        <v>10</v>
      </c>
      <c r="P1225">
        <v>-5</v>
      </c>
      <c r="Q1225">
        <v>15</v>
      </c>
      <c r="R1225">
        <v>-5800</v>
      </c>
      <c r="S1225">
        <v>4475</v>
      </c>
      <c r="T1225">
        <v>60</v>
      </c>
      <c r="U1225">
        <v>-135</v>
      </c>
      <c r="V1225" t="s">
        <v>37</v>
      </c>
      <c r="W1225">
        <v>0</v>
      </c>
      <c r="X1225">
        <v>0</v>
      </c>
      <c r="Y1225">
        <v>0</v>
      </c>
      <c r="Z1225">
        <v>1.3236975E-2</v>
      </c>
      <c r="AA1225">
        <v>10275</v>
      </c>
      <c r="AB1225">
        <v>0</v>
      </c>
      <c r="AC1225">
        <v>-75</v>
      </c>
      <c r="AD1225">
        <v>-7.2992700000000001E-3</v>
      </c>
      <c r="AE1225">
        <v>0</v>
      </c>
      <c r="AF1225">
        <v>0</v>
      </c>
      <c r="AG1225">
        <v>0</v>
      </c>
      <c r="AH1225">
        <f t="shared" si="19"/>
        <v>0</v>
      </c>
    </row>
    <row r="1226" spans="1:34" x14ac:dyDescent="0.25">
      <c r="A1226" s="1">
        <v>45308</v>
      </c>
      <c r="B1226">
        <v>581</v>
      </c>
      <c r="C1226">
        <v>1.7241380000000001E-3</v>
      </c>
      <c r="D1226">
        <v>879</v>
      </c>
      <c r="E1226">
        <v>-1.7877094999999999E-2</v>
      </c>
      <c r="F1226">
        <v>1.9601232999999999E-2</v>
      </c>
      <c r="G1226">
        <v>1.9601232999999999E-2</v>
      </c>
      <c r="H1226">
        <v>5.8684480000000001E-3</v>
      </c>
      <c r="I1226">
        <v>1.3885430000000001E-2</v>
      </c>
      <c r="J1226">
        <v>1</v>
      </c>
      <c r="K1226">
        <v>1</v>
      </c>
      <c r="L1226">
        <v>0</v>
      </c>
      <c r="M1226">
        <v>5</v>
      </c>
      <c r="N1226">
        <v>15.686920069999999</v>
      </c>
      <c r="O1226">
        <v>10</v>
      </c>
      <c r="P1226">
        <v>-5</v>
      </c>
      <c r="Q1226">
        <v>15</v>
      </c>
      <c r="R1226">
        <v>-5810</v>
      </c>
      <c r="S1226">
        <v>4395</v>
      </c>
      <c r="T1226">
        <v>50</v>
      </c>
      <c r="U1226">
        <v>-215</v>
      </c>
      <c r="V1226" t="s">
        <v>37</v>
      </c>
      <c r="W1226">
        <v>0</v>
      </c>
      <c r="X1226">
        <v>0</v>
      </c>
      <c r="Y1226">
        <v>0</v>
      </c>
      <c r="Z1226">
        <v>1.3885430000000001E-2</v>
      </c>
      <c r="AA1226">
        <v>10205</v>
      </c>
      <c r="AB1226">
        <v>0</v>
      </c>
      <c r="AC1226">
        <v>-165</v>
      </c>
      <c r="AD1226">
        <v>-1.6168544999999999E-2</v>
      </c>
      <c r="AE1226">
        <v>1</v>
      </c>
      <c r="AF1226">
        <v>-165</v>
      </c>
      <c r="AG1226">
        <v>0</v>
      </c>
      <c r="AH1226">
        <f t="shared" si="19"/>
        <v>-1.6168544830965213E-2</v>
      </c>
    </row>
    <row r="1227" spans="1:34" x14ac:dyDescent="0.25">
      <c r="A1227" s="1">
        <v>45309</v>
      </c>
      <c r="B1227">
        <v>588</v>
      </c>
      <c r="C1227">
        <v>1.2048193E-2</v>
      </c>
      <c r="D1227">
        <v>897</v>
      </c>
      <c r="E1227">
        <v>2.0477815999999999E-2</v>
      </c>
      <c r="F1227">
        <v>-8.4296230000000007E-3</v>
      </c>
      <c r="G1227">
        <v>8.4296230000000007E-3</v>
      </c>
      <c r="H1227">
        <v>8.2739030000000009E-3</v>
      </c>
      <c r="I1227">
        <v>1.9607517000000001E-2</v>
      </c>
      <c r="J1227">
        <v>0</v>
      </c>
      <c r="K1227">
        <v>0</v>
      </c>
      <c r="L1227">
        <v>-1</v>
      </c>
      <c r="M1227">
        <v>5</v>
      </c>
      <c r="N1227">
        <v>2.592846695</v>
      </c>
      <c r="O1227">
        <v>10</v>
      </c>
      <c r="P1227">
        <v>-5</v>
      </c>
      <c r="Q1227">
        <v>15</v>
      </c>
      <c r="R1227">
        <v>-5880</v>
      </c>
      <c r="S1227">
        <v>4485</v>
      </c>
      <c r="T1227">
        <v>-20</v>
      </c>
      <c r="U1227">
        <v>-125</v>
      </c>
      <c r="V1227" t="s">
        <v>35</v>
      </c>
      <c r="W1227">
        <v>-5880</v>
      </c>
      <c r="X1227">
        <v>4485</v>
      </c>
      <c r="Y1227">
        <v>-145</v>
      </c>
      <c r="Z1227">
        <v>1.9607517000000001E-2</v>
      </c>
      <c r="AA1227">
        <v>10365</v>
      </c>
      <c r="AB1227">
        <v>0</v>
      </c>
      <c r="AC1227">
        <v>-145</v>
      </c>
      <c r="AD1227">
        <v>-1.3989387000000001E-2</v>
      </c>
      <c r="AE1227">
        <v>0</v>
      </c>
      <c r="AF1227">
        <v>0</v>
      </c>
      <c r="AG1227">
        <v>0</v>
      </c>
      <c r="AH1227">
        <f t="shared" si="19"/>
        <v>0</v>
      </c>
    </row>
    <row r="1228" spans="1:34" x14ac:dyDescent="0.25">
      <c r="A1228" s="1">
        <v>45310</v>
      </c>
      <c r="B1228">
        <v>626</v>
      </c>
      <c r="C1228">
        <v>6.4625849999999999E-2</v>
      </c>
      <c r="D1228">
        <v>920</v>
      </c>
      <c r="E1228">
        <v>2.5641026000000001E-2</v>
      </c>
      <c r="F1228">
        <v>3.8984825000000001E-2</v>
      </c>
      <c r="G1228">
        <v>3.8984825000000001E-2</v>
      </c>
      <c r="H1228">
        <v>2.9224749000000001E-2</v>
      </c>
      <c r="I1228">
        <v>2.3805803E-2</v>
      </c>
      <c r="J1228">
        <v>1</v>
      </c>
      <c r="K1228">
        <v>1</v>
      </c>
      <c r="L1228">
        <v>1</v>
      </c>
      <c r="M1228">
        <v>5</v>
      </c>
      <c r="N1228">
        <v>0.58309942999999997</v>
      </c>
      <c r="O1228">
        <v>-3</v>
      </c>
      <c r="P1228">
        <v>5</v>
      </c>
      <c r="Q1228">
        <v>8</v>
      </c>
      <c r="R1228">
        <v>1878</v>
      </c>
      <c r="S1228">
        <v>-4600</v>
      </c>
      <c r="T1228">
        <v>0</v>
      </c>
      <c r="U1228">
        <v>0</v>
      </c>
      <c r="V1228" t="s">
        <v>34</v>
      </c>
      <c r="W1228">
        <v>1878</v>
      </c>
      <c r="X1228">
        <v>-4600</v>
      </c>
      <c r="Y1228">
        <v>0</v>
      </c>
      <c r="Z1228">
        <v>2.9224749000000001E-2</v>
      </c>
      <c r="AA1228">
        <v>6478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6478</v>
      </c>
      <c r="AH1228">
        <f t="shared" si="19"/>
        <v>0</v>
      </c>
    </row>
    <row r="1229" spans="1:34" x14ac:dyDescent="0.25">
      <c r="A1229" s="1">
        <v>45313</v>
      </c>
      <c r="B1229">
        <v>626</v>
      </c>
      <c r="C1229">
        <v>0</v>
      </c>
      <c r="D1229">
        <v>922</v>
      </c>
      <c r="E1229">
        <v>2.173913E-3</v>
      </c>
      <c r="F1229">
        <v>-2.173913E-3</v>
      </c>
      <c r="G1229">
        <v>2.173913E-3</v>
      </c>
      <c r="H1229">
        <v>2.9581794000000002E-2</v>
      </c>
      <c r="I1229">
        <v>2.3761449E-2</v>
      </c>
      <c r="J1229">
        <v>0</v>
      </c>
      <c r="K1229">
        <v>0</v>
      </c>
      <c r="L1229">
        <v>-1</v>
      </c>
      <c r="M1229">
        <v>5</v>
      </c>
      <c r="N1229" t="s">
        <v>36</v>
      </c>
      <c r="O1229">
        <v>3</v>
      </c>
      <c r="P1229">
        <v>-5</v>
      </c>
      <c r="Q1229">
        <v>8</v>
      </c>
      <c r="R1229">
        <v>-1878</v>
      </c>
      <c r="S1229">
        <v>4610</v>
      </c>
      <c r="T1229">
        <v>0</v>
      </c>
      <c r="U1229">
        <v>10</v>
      </c>
      <c r="V1229" t="s">
        <v>35</v>
      </c>
      <c r="W1229">
        <v>-1878</v>
      </c>
      <c r="X1229">
        <v>4610</v>
      </c>
      <c r="Y1229">
        <v>10</v>
      </c>
      <c r="Z1229">
        <v>2.9581794000000002E-2</v>
      </c>
      <c r="AA1229">
        <v>6488</v>
      </c>
      <c r="AB1229">
        <v>0</v>
      </c>
      <c r="AC1229">
        <v>10</v>
      </c>
      <c r="AD1229">
        <v>1.541307E-3</v>
      </c>
      <c r="AE1229">
        <v>0</v>
      </c>
      <c r="AF1229">
        <v>10</v>
      </c>
      <c r="AG1229">
        <v>0</v>
      </c>
      <c r="AH1229">
        <f t="shared" si="19"/>
        <v>1.5413070283600493E-3</v>
      </c>
    </row>
    <row r="1230" spans="1:34" x14ac:dyDescent="0.25">
      <c r="A1230" s="1">
        <v>45314</v>
      </c>
      <c r="B1230">
        <v>628</v>
      </c>
      <c r="C1230">
        <v>3.1948879999999999E-3</v>
      </c>
      <c r="D1230">
        <v>911</v>
      </c>
      <c r="E1230">
        <v>-1.1930586E-2</v>
      </c>
      <c r="F1230">
        <v>1.5125474E-2</v>
      </c>
      <c r="G1230">
        <v>1.5125474E-2</v>
      </c>
      <c r="H1230">
        <v>2.7401431E-2</v>
      </c>
      <c r="I1230">
        <v>1.9203637999999999E-2</v>
      </c>
      <c r="J1230">
        <v>1</v>
      </c>
      <c r="K1230">
        <v>0</v>
      </c>
      <c r="L1230">
        <v>0</v>
      </c>
      <c r="M1230">
        <v>5</v>
      </c>
      <c r="N1230">
        <v>5.4170748299999998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W1230">
        <v>0</v>
      </c>
      <c r="X1230">
        <v>0</v>
      </c>
      <c r="Y1230">
        <v>0</v>
      </c>
      <c r="Z1230">
        <v>2.7401431E-2</v>
      </c>
      <c r="AA1230">
        <v>0</v>
      </c>
      <c r="AB1230" t="s">
        <v>33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f t="shared" si="19"/>
        <v>0</v>
      </c>
    </row>
    <row r="1231" spans="1:34" x14ac:dyDescent="0.25">
      <c r="A1231" s="1">
        <v>45315</v>
      </c>
      <c r="B1231">
        <v>627</v>
      </c>
      <c r="C1231">
        <v>-1.592357E-3</v>
      </c>
      <c r="D1231">
        <v>936</v>
      </c>
      <c r="E1231">
        <v>2.7442371E-2</v>
      </c>
      <c r="F1231">
        <v>-2.9034727999999999E-2</v>
      </c>
      <c r="G1231">
        <v>2.9034727999999999E-2</v>
      </c>
      <c r="H1231">
        <v>2.7879015E-2</v>
      </c>
      <c r="I1231">
        <v>1.7049544E-2</v>
      </c>
      <c r="J1231">
        <v>0</v>
      </c>
      <c r="K1231">
        <v>1</v>
      </c>
      <c r="L1231">
        <v>1</v>
      </c>
      <c r="M1231">
        <v>5</v>
      </c>
      <c r="N1231">
        <v>25.727025879999999</v>
      </c>
      <c r="O1231">
        <v>129</v>
      </c>
      <c r="P1231">
        <v>-5</v>
      </c>
      <c r="Q1231">
        <v>134</v>
      </c>
      <c r="R1231">
        <v>-80883</v>
      </c>
      <c r="S1231">
        <v>4680</v>
      </c>
      <c r="T1231">
        <v>0</v>
      </c>
      <c r="U1231">
        <v>0</v>
      </c>
      <c r="V1231" t="s">
        <v>34</v>
      </c>
      <c r="W1231">
        <v>-80883</v>
      </c>
      <c r="X1231">
        <v>4680</v>
      </c>
      <c r="Y1231">
        <v>0</v>
      </c>
      <c r="Z1231">
        <v>2.7879015E-2</v>
      </c>
      <c r="AA1231">
        <v>85563</v>
      </c>
      <c r="AB1231">
        <v>0.02</v>
      </c>
      <c r="AC1231">
        <v>0</v>
      </c>
      <c r="AD1231">
        <v>0</v>
      </c>
      <c r="AE1231">
        <v>0</v>
      </c>
      <c r="AF1231">
        <v>0</v>
      </c>
      <c r="AG1231">
        <v>85563</v>
      </c>
      <c r="AH1231">
        <f t="shared" si="19"/>
        <v>0</v>
      </c>
    </row>
    <row r="1232" spans="1:34" x14ac:dyDescent="0.25">
      <c r="A1232" s="1">
        <v>45316</v>
      </c>
      <c r="B1232">
        <v>642</v>
      </c>
      <c r="C1232">
        <v>2.3923445000000002E-2</v>
      </c>
      <c r="D1232">
        <v>943</v>
      </c>
      <c r="E1232">
        <v>7.4786319999999998E-3</v>
      </c>
      <c r="F1232">
        <v>1.6444812E-2</v>
      </c>
      <c r="G1232">
        <v>1.6444812E-2</v>
      </c>
      <c r="H1232">
        <v>2.8000466000000002E-2</v>
      </c>
      <c r="I1232">
        <v>1.6562787999999998E-2</v>
      </c>
      <c r="J1232">
        <v>1</v>
      </c>
      <c r="K1232">
        <v>0</v>
      </c>
      <c r="L1232">
        <v>-1</v>
      </c>
      <c r="M1232">
        <v>5</v>
      </c>
      <c r="N1232">
        <v>0.459171726</v>
      </c>
      <c r="O1232">
        <v>-129</v>
      </c>
      <c r="P1232">
        <v>5</v>
      </c>
      <c r="Q1232">
        <v>134</v>
      </c>
      <c r="R1232">
        <v>82818</v>
      </c>
      <c r="S1232">
        <v>-4715</v>
      </c>
      <c r="T1232">
        <v>1935</v>
      </c>
      <c r="U1232">
        <v>-35</v>
      </c>
      <c r="V1232" t="s">
        <v>35</v>
      </c>
      <c r="W1232">
        <v>82818</v>
      </c>
      <c r="X1232">
        <v>-4715</v>
      </c>
      <c r="Y1232">
        <v>1900</v>
      </c>
      <c r="Z1232">
        <v>2.8000466000000002E-2</v>
      </c>
      <c r="AA1232">
        <v>87533</v>
      </c>
      <c r="AB1232">
        <v>0.02</v>
      </c>
      <c r="AC1232">
        <v>1900</v>
      </c>
      <c r="AD1232">
        <v>2.1706099E-2</v>
      </c>
      <c r="AE1232">
        <v>0</v>
      </c>
      <c r="AF1232">
        <v>1900</v>
      </c>
      <c r="AG1232">
        <v>0</v>
      </c>
      <c r="AH1232">
        <f t="shared" si="19"/>
        <v>2.1706099413935316E-2</v>
      </c>
    </row>
    <row r="1233" spans="1:34" x14ac:dyDescent="0.25">
      <c r="A1233" s="1">
        <v>45317</v>
      </c>
      <c r="B1233">
        <v>644</v>
      </c>
      <c r="C1233">
        <v>3.1152649999999999E-3</v>
      </c>
      <c r="D1233">
        <v>936</v>
      </c>
      <c r="E1233">
        <v>-7.4231180000000003E-3</v>
      </c>
      <c r="F1233">
        <v>1.0538383E-2</v>
      </c>
      <c r="G1233">
        <v>1.0538383E-2</v>
      </c>
      <c r="H1233">
        <v>1.0376836E-2</v>
      </c>
      <c r="I1233">
        <v>1.5396679999999999E-2</v>
      </c>
      <c r="J1233">
        <v>1</v>
      </c>
      <c r="K1233">
        <v>0</v>
      </c>
      <c r="L1233">
        <v>0</v>
      </c>
      <c r="M1233">
        <v>5</v>
      </c>
      <c r="N1233">
        <v>3.4632302089999998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W1233">
        <v>0</v>
      </c>
      <c r="X1233">
        <v>0</v>
      </c>
      <c r="Y1233">
        <v>0</v>
      </c>
      <c r="Z1233">
        <v>1.5396679999999999E-2</v>
      </c>
      <c r="AA1233">
        <v>0</v>
      </c>
      <c r="AB1233" t="s">
        <v>33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f t="shared" si="19"/>
        <v>0</v>
      </c>
    </row>
    <row r="1234" spans="1:34" x14ac:dyDescent="0.25">
      <c r="A1234" s="1">
        <v>45320</v>
      </c>
      <c r="B1234">
        <v>648</v>
      </c>
      <c r="C1234">
        <v>6.2111800000000002E-3</v>
      </c>
      <c r="D1234">
        <v>938</v>
      </c>
      <c r="E1234">
        <v>2.136752E-3</v>
      </c>
      <c r="F1234">
        <v>4.0744279999999997E-3</v>
      </c>
      <c r="G1234">
        <v>4.0744279999999997E-3</v>
      </c>
      <c r="H1234">
        <v>9.8795180000000003E-3</v>
      </c>
      <c r="I1234">
        <v>1.5397518000000001E-2</v>
      </c>
      <c r="J1234">
        <v>1</v>
      </c>
      <c r="K1234">
        <v>0</v>
      </c>
      <c r="L1234">
        <v>0</v>
      </c>
      <c r="M1234">
        <v>5</v>
      </c>
      <c r="N1234">
        <v>0.49797536100000001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W1234">
        <v>0</v>
      </c>
      <c r="X1234">
        <v>0</v>
      </c>
      <c r="Y1234">
        <v>0</v>
      </c>
      <c r="Z1234">
        <v>1.5397518000000001E-2</v>
      </c>
      <c r="AA1234">
        <v>0</v>
      </c>
      <c r="AB1234" t="s">
        <v>33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f t="shared" si="19"/>
        <v>0</v>
      </c>
    </row>
    <row r="1235" spans="1:34" x14ac:dyDescent="0.25">
      <c r="A1235" s="1">
        <v>45321</v>
      </c>
      <c r="B1235">
        <v>642</v>
      </c>
      <c r="C1235">
        <v>-9.2592590000000006E-3</v>
      </c>
      <c r="D1235">
        <v>963</v>
      </c>
      <c r="E1235">
        <v>2.6652452E-2</v>
      </c>
      <c r="F1235">
        <v>-3.5911710999999999E-2</v>
      </c>
      <c r="G1235">
        <v>3.5911710999999999E-2</v>
      </c>
      <c r="H1235">
        <v>1.2334381E-2</v>
      </c>
      <c r="I1235">
        <v>1.5373581000000001E-2</v>
      </c>
      <c r="J1235">
        <v>0</v>
      </c>
      <c r="K1235">
        <v>1</v>
      </c>
      <c r="L1235">
        <v>1</v>
      </c>
      <c r="M1235">
        <v>5</v>
      </c>
      <c r="N1235">
        <v>4.3176972280000001</v>
      </c>
      <c r="O1235">
        <v>22</v>
      </c>
      <c r="P1235">
        <v>-5</v>
      </c>
      <c r="Q1235">
        <v>27</v>
      </c>
      <c r="R1235">
        <v>-14124</v>
      </c>
      <c r="S1235">
        <v>4815</v>
      </c>
      <c r="T1235">
        <v>0</v>
      </c>
      <c r="U1235">
        <v>0</v>
      </c>
      <c r="V1235" t="s">
        <v>34</v>
      </c>
      <c r="W1235">
        <v>-14124</v>
      </c>
      <c r="X1235">
        <v>4815</v>
      </c>
      <c r="Y1235">
        <v>0</v>
      </c>
      <c r="Z1235">
        <v>1.5373581000000001E-2</v>
      </c>
      <c r="AA1235">
        <v>18939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18939</v>
      </c>
      <c r="AH1235">
        <f t="shared" si="19"/>
        <v>0</v>
      </c>
    </row>
    <row r="1236" spans="1:34" x14ac:dyDescent="0.25">
      <c r="A1236" s="1">
        <v>45322</v>
      </c>
      <c r="B1236">
        <v>628</v>
      </c>
      <c r="C1236">
        <v>-2.1806854000000001E-2</v>
      </c>
      <c r="D1236">
        <v>966</v>
      </c>
      <c r="E1236">
        <v>3.1152649999999999E-3</v>
      </c>
      <c r="F1236">
        <v>-2.4922118E-2</v>
      </c>
      <c r="G1236">
        <v>2.4922118E-2</v>
      </c>
      <c r="H1236">
        <v>1.7182359000000001E-2</v>
      </c>
      <c r="I1236">
        <v>1.2563522000000001E-2</v>
      </c>
      <c r="J1236">
        <v>0</v>
      </c>
      <c r="K1236">
        <v>1</v>
      </c>
      <c r="L1236">
        <v>0</v>
      </c>
      <c r="M1236">
        <v>5</v>
      </c>
      <c r="N1236">
        <v>0.21974522299999999</v>
      </c>
      <c r="O1236">
        <v>-22</v>
      </c>
      <c r="P1236">
        <v>5</v>
      </c>
      <c r="Q1236">
        <v>27</v>
      </c>
      <c r="R1236">
        <v>13816</v>
      </c>
      <c r="S1236">
        <v>-4830</v>
      </c>
      <c r="T1236">
        <v>-308</v>
      </c>
      <c r="U1236">
        <v>-15</v>
      </c>
      <c r="V1236" t="s">
        <v>37</v>
      </c>
      <c r="W1236">
        <v>0</v>
      </c>
      <c r="X1236">
        <v>0</v>
      </c>
      <c r="Y1236">
        <v>0</v>
      </c>
      <c r="Z1236">
        <v>1.7182359000000001E-2</v>
      </c>
      <c r="AA1236">
        <v>18646</v>
      </c>
      <c r="AB1236">
        <v>0</v>
      </c>
      <c r="AC1236">
        <v>-323</v>
      </c>
      <c r="AD1236">
        <v>-1.7322750000000001E-2</v>
      </c>
      <c r="AE1236">
        <v>1</v>
      </c>
      <c r="AF1236">
        <v>-323</v>
      </c>
      <c r="AG1236">
        <v>0</v>
      </c>
      <c r="AH1236">
        <f t="shared" si="19"/>
        <v>-1.7322750187707819E-2</v>
      </c>
    </row>
    <row r="1237" spans="1:34" x14ac:dyDescent="0.25">
      <c r="A1237" s="1">
        <v>45323</v>
      </c>
      <c r="B1237">
        <v>628</v>
      </c>
      <c r="C1237">
        <v>0</v>
      </c>
      <c r="D1237">
        <v>930</v>
      </c>
      <c r="E1237">
        <v>-3.7267081000000001E-2</v>
      </c>
      <c r="F1237">
        <v>3.7267081000000001E-2</v>
      </c>
      <c r="G1237">
        <v>3.7267081000000001E-2</v>
      </c>
      <c r="H1237">
        <v>1.1347177E-2</v>
      </c>
      <c r="I1237">
        <v>2.3107718999999999E-2</v>
      </c>
      <c r="J1237">
        <v>1</v>
      </c>
      <c r="K1237">
        <v>0</v>
      </c>
      <c r="L1237">
        <v>-1</v>
      </c>
      <c r="M1237">
        <v>5</v>
      </c>
      <c r="N1237" t="s">
        <v>36</v>
      </c>
      <c r="O1237">
        <v>-22</v>
      </c>
      <c r="P1237">
        <v>5</v>
      </c>
      <c r="Q1237">
        <v>27</v>
      </c>
      <c r="R1237">
        <v>13816</v>
      </c>
      <c r="S1237">
        <v>-4650</v>
      </c>
      <c r="T1237">
        <v>-308</v>
      </c>
      <c r="U1237">
        <v>165</v>
      </c>
      <c r="V1237" t="s">
        <v>35</v>
      </c>
      <c r="W1237">
        <v>13816</v>
      </c>
      <c r="X1237">
        <v>-4650</v>
      </c>
      <c r="Y1237">
        <v>-143</v>
      </c>
      <c r="Z1237">
        <v>2.3107718999999999E-2</v>
      </c>
      <c r="AA1237">
        <v>18466</v>
      </c>
      <c r="AB1237">
        <v>0</v>
      </c>
      <c r="AC1237">
        <v>-143</v>
      </c>
      <c r="AD1237">
        <v>-7.7439620000000001E-3</v>
      </c>
      <c r="AE1237">
        <v>0</v>
      </c>
      <c r="AF1237">
        <v>0</v>
      </c>
      <c r="AG1237">
        <v>0</v>
      </c>
      <c r="AH1237">
        <f t="shared" si="19"/>
        <v>0</v>
      </c>
    </row>
    <row r="1238" spans="1:34" x14ac:dyDescent="0.25">
      <c r="A1238" s="1">
        <v>45324</v>
      </c>
      <c r="B1238">
        <v>635</v>
      </c>
      <c r="C1238">
        <v>1.1146497E-2</v>
      </c>
      <c r="D1238">
        <v>936</v>
      </c>
      <c r="E1238">
        <v>6.4516130000000001E-3</v>
      </c>
      <c r="F1238">
        <v>4.6948839999999999E-3</v>
      </c>
      <c r="G1238">
        <v>4.6948839999999999E-3</v>
      </c>
      <c r="H1238">
        <v>1.3100684E-2</v>
      </c>
      <c r="I1238">
        <v>2.3210155E-2</v>
      </c>
      <c r="J1238">
        <v>1</v>
      </c>
      <c r="K1238">
        <v>0</v>
      </c>
      <c r="L1238">
        <v>0</v>
      </c>
      <c r="M1238">
        <v>5</v>
      </c>
      <c r="N1238">
        <v>0.85316303199999999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W1238">
        <v>0</v>
      </c>
      <c r="X1238">
        <v>0</v>
      </c>
      <c r="Y1238">
        <v>0</v>
      </c>
      <c r="Z1238">
        <v>2.3210155E-2</v>
      </c>
      <c r="AA1238">
        <v>0</v>
      </c>
      <c r="AB1238" t="s">
        <v>33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f t="shared" si="19"/>
        <v>0</v>
      </c>
    </row>
    <row r="1239" spans="1:34" x14ac:dyDescent="0.25">
      <c r="A1239" s="1">
        <v>45327</v>
      </c>
      <c r="B1239">
        <v>646</v>
      </c>
      <c r="C1239">
        <v>1.7322835000000002E-2</v>
      </c>
      <c r="D1239">
        <v>937</v>
      </c>
      <c r="E1239">
        <v>1.068376E-3</v>
      </c>
      <c r="F1239">
        <v>1.6254458999999999E-2</v>
      </c>
      <c r="G1239">
        <v>1.6254458999999999E-2</v>
      </c>
      <c r="H1239">
        <v>1.5686372000000001E-2</v>
      </c>
      <c r="I1239">
        <v>2.3192984E-2</v>
      </c>
      <c r="J1239">
        <v>1</v>
      </c>
      <c r="K1239">
        <v>0</v>
      </c>
      <c r="L1239">
        <v>0</v>
      </c>
      <c r="M1239">
        <v>5</v>
      </c>
      <c r="N1239">
        <v>8.9456574999999997E-2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W1239">
        <v>0</v>
      </c>
      <c r="X1239">
        <v>0</v>
      </c>
      <c r="Y1239">
        <v>0</v>
      </c>
      <c r="Z1239">
        <v>2.3192984E-2</v>
      </c>
      <c r="AA1239">
        <v>0</v>
      </c>
      <c r="AB1239" t="s">
        <v>33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f t="shared" si="19"/>
        <v>0</v>
      </c>
    </row>
    <row r="1240" spans="1:34" x14ac:dyDescent="0.25">
      <c r="A1240" s="1">
        <v>45337</v>
      </c>
      <c r="B1240">
        <v>697</v>
      </c>
      <c r="C1240">
        <v>7.8947368000000004E-2</v>
      </c>
      <c r="D1240">
        <v>972</v>
      </c>
      <c r="E1240">
        <v>3.7353255000000002E-2</v>
      </c>
      <c r="F1240">
        <v>4.1594113000000002E-2</v>
      </c>
      <c r="G1240">
        <v>4.1594113000000002E-2</v>
      </c>
      <c r="H1240">
        <v>3.7638881999999999E-2</v>
      </c>
      <c r="I1240">
        <v>2.6521599E-2</v>
      </c>
      <c r="J1240">
        <v>1</v>
      </c>
      <c r="K1240">
        <v>1</v>
      </c>
      <c r="L1240">
        <v>1</v>
      </c>
      <c r="M1240">
        <v>5</v>
      </c>
      <c r="N1240">
        <v>0.65981818699999994</v>
      </c>
      <c r="O1240">
        <v>-4</v>
      </c>
      <c r="P1240">
        <v>5</v>
      </c>
      <c r="Q1240">
        <v>9</v>
      </c>
      <c r="R1240">
        <v>2788</v>
      </c>
      <c r="S1240">
        <v>-4860</v>
      </c>
      <c r="T1240">
        <v>0</v>
      </c>
      <c r="U1240">
        <v>0</v>
      </c>
      <c r="V1240" t="s">
        <v>34</v>
      </c>
      <c r="W1240">
        <v>2788</v>
      </c>
      <c r="X1240">
        <v>-4860</v>
      </c>
      <c r="Y1240">
        <v>0</v>
      </c>
      <c r="Z1240">
        <v>3.7638881999999999E-2</v>
      </c>
      <c r="AA1240">
        <v>7648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7648</v>
      </c>
      <c r="AH1240">
        <f t="shared" si="19"/>
        <v>0</v>
      </c>
    </row>
    <row r="1241" spans="1:34" x14ac:dyDescent="0.25">
      <c r="A1241" s="1">
        <v>45338</v>
      </c>
      <c r="B1241">
        <v>683</v>
      </c>
      <c r="C1241">
        <v>-2.0086083000000001E-2</v>
      </c>
      <c r="D1241">
        <v>970</v>
      </c>
      <c r="E1241">
        <v>-2.0576129999999998E-3</v>
      </c>
      <c r="F1241">
        <v>-1.8028470000000001E-2</v>
      </c>
      <c r="G1241">
        <v>1.8028470000000001E-2</v>
      </c>
      <c r="H1241">
        <v>3.7199244999999999E-2</v>
      </c>
      <c r="I1241">
        <v>2.6575093000000001E-2</v>
      </c>
      <c r="J1241">
        <v>0</v>
      </c>
      <c r="K1241">
        <v>0</v>
      </c>
      <c r="L1241">
        <v>-1</v>
      </c>
      <c r="M1241">
        <v>5</v>
      </c>
      <c r="N1241">
        <v>0.145485431</v>
      </c>
      <c r="O1241">
        <v>4</v>
      </c>
      <c r="P1241">
        <v>-5</v>
      </c>
      <c r="Q1241">
        <v>9</v>
      </c>
      <c r="R1241">
        <v>-2732</v>
      </c>
      <c r="S1241">
        <v>4850</v>
      </c>
      <c r="T1241">
        <v>56</v>
      </c>
      <c r="U1241">
        <v>-10</v>
      </c>
      <c r="V1241" t="s">
        <v>35</v>
      </c>
      <c r="W1241">
        <v>-2732</v>
      </c>
      <c r="X1241">
        <v>4850</v>
      </c>
      <c r="Y1241">
        <v>46</v>
      </c>
      <c r="Z1241">
        <v>3.7199244999999999E-2</v>
      </c>
      <c r="AA1241">
        <v>7582</v>
      </c>
      <c r="AB1241">
        <v>0</v>
      </c>
      <c r="AC1241">
        <v>46</v>
      </c>
      <c r="AD1241">
        <v>6.0670009999999998E-3</v>
      </c>
      <c r="AE1241">
        <v>0</v>
      </c>
      <c r="AF1241">
        <v>46</v>
      </c>
      <c r="AG1241">
        <v>0</v>
      </c>
      <c r="AH1241">
        <f t="shared" si="19"/>
        <v>6.0670007913479294E-3</v>
      </c>
    </row>
    <row r="1242" spans="1:34" x14ac:dyDescent="0.25">
      <c r="A1242" s="1">
        <v>45341</v>
      </c>
      <c r="B1242">
        <v>678</v>
      </c>
      <c r="C1242">
        <v>-7.3206440000000003E-3</v>
      </c>
      <c r="D1242">
        <v>963</v>
      </c>
      <c r="E1242">
        <v>-7.2164949999999999E-3</v>
      </c>
      <c r="F1242">
        <v>-1.04149E-4</v>
      </c>
      <c r="G1242">
        <v>1.04149E-4</v>
      </c>
      <c r="H1242">
        <v>3.8189447000000001E-2</v>
      </c>
      <c r="I1242">
        <v>1.7613079E-2</v>
      </c>
      <c r="J1242">
        <v>0</v>
      </c>
      <c r="K1242">
        <v>0</v>
      </c>
      <c r="L1242">
        <v>0</v>
      </c>
      <c r="M1242">
        <v>5</v>
      </c>
      <c r="N1242">
        <v>1.400146884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W1242">
        <v>0</v>
      </c>
      <c r="X1242">
        <v>0</v>
      </c>
      <c r="Y1242">
        <v>0</v>
      </c>
      <c r="Z1242">
        <v>3.8189447000000001E-2</v>
      </c>
      <c r="AA1242">
        <v>0</v>
      </c>
      <c r="AB1242" t="s">
        <v>33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f t="shared" si="19"/>
        <v>0</v>
      </c>
    </row>
    <row r="1243" spans="1:34" x14ac:dyDescent="0.25">
      <c r="A1243" s="1">
        <v>45342</v>
      </c>
      <c r="B1243">
        <v>687</v>
      </c>
      <c r="C1243">
        <v>1.3274335999999999E-2</v>
      </c>
      <c r="D1243">
        <v>982</v>
      </c>
      <c r="E1243">
        <v>1.9730009999999999E-2</v>
      </c>
      <c r="F1243">
        <v>-6.4556739999999998E-3</v>
      </c>
      <c r="G1243">
        <v>6.4556739999999998E-3</v>
      </c>
      <c r="H1243">
        <v>3.8133627000000003E-2</v>
      </c>
      <c r="I1243">
        <v>1.8467467000000001E-2</v>
      </c>
      <c r="J1243">
        <v>0</v>
      </c>
      <c r="K1243">
        <v>0</v>
      </c>
      <c r="L1243">
        <v>0</v>
      </c>
      <c r="M1243">
        <v>5</v>
      </c>
      <c r="N1243">
        <v>2.1245612149999999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W1243">
        <v>0</v>
      </c>
      <c r="X1243">
        <v>0</v>
      </c>
      <c r="Y1243">
        <v>0</v>
      </c>
      <c r="Z1243">
        <v>3.8133627000000003E-2</v>
      </c>
      <c r="AA1243">
        <v>0</v>
      </c>
      <c r="AB1243" t="s">
        <v>33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f t="shared" si="19"/>
        <v>0</v>
      </c>
    </row>
    <row r="1244" spans="1:34" x14ac:dyDescent="0.25">
      <c r="A1244" s="1">
        <v>45343</v>
      </c>
      <c r="B1244">
        <v>681</v>
      </c>
      <c r="C1244">
        <v>-8.7336240000000006E-3</v>
      </c>
      <c r="D1244">
        <v>981</v>
      </c>
      <c r="E1244">
        <v>-1.01833E-3</v>
      </c>
      <c r="F1244">
        <v>-7.7152949999999996E-3</v>
      </c>
      <c r="G1244">
        <v>7.7152949999999996E-3</v>
      </c>
      <c r="H1244">
        <v>3.9727792999999997E-2</v>
      </c>
      <c r="I1244">
        <v>1.8735069E-2</v>
      </c>
      <c r="J1244">
        <v>0</v>
      </c>
      <c r="K1244">
        <v>0</v>
      </c>
      <c r="L1244">
        <v>0</v>
      </c>
      <c r="M1244">
        <v>5</v>
      </c>
      <c r="N1244">
        <v>0.16796387800000001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W1244">
        <v>0</v>
      </c>
      <c r="X1244">
        <v>0</v>
      </c>
      <c r="Y1244">
        <v>0</v>
      </c>
      <c r="Z1244">
        <v>3.9727792999999997E-2</v>
      </c>
      <c r="AA1244">
        <v>0</v>
      </c>
      <c r="AB1244" t="s">
        <v>33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f t="shared" si="19"/>
        <v>0</v>
      </c>
    </row>
    <row r="1245" spans="1:34" x14ac:dyDescent="0.25">
      <c r="A1245" s="1">
        <v>45344</v>
      </c>
      <c r="B1245">
        <v>692</v>
      </c>
      <c r="C1245">
        <v>1.6152717E-2</v>
      </c>
      <c r="D1245">
        <v>1015</v>
      </c>
      <c r="E1245">
        <v>3.4658512000000002E-2</v>
      </c>
      <c r="F1245">
        <v>-1.8505794999999998E-2</v>
      </c>
      <c r="G1245">
        <v>1.8505794999999998E-2</v>
      </c>
      <c r="H1245">
        <v>1.5503414E-2</v>
      </c>
      <c r="I1245">
        <v>1.7740782E-2</v>
      </c>
      <c r="J1245">
        <v>0</v>
      </c>
      <c r="K1245">
        <v>1</v>
      </c>
      <c r="L1245">
        <v>1</v>
      </c>
      <c r="M1245">
        <v>5</v>
      </c>
      <c r="N1245">
        <v>3.1471995769999999</v>
      </c>
      <c r="O1245">
        <v>16</v>
      </c>
      <c r="P1245">
        <v>-5</v>
      </c>
      <c r="Q1245">
        <v>21</v>
      </c>
      <c r="R1245">
        <v>-11072</v>
      </c>
      <c r="S1245">
        <v>5075</v>
      </c>
      <c r="T1245">
        <v>0</v>
      </c>
      <c r="U1245">
        <v>0</v>
      </c>
      <c r="V1245" t="s">
        <v>34</v>
      </c>
      <c r="W1245">
        <v>-11072</v>
      </c>
      <c r="X1245">
        <v>5075</v>
      </c>
      <c r="Y1245">
        <v>0</v>
      </c>
      <c r="Z1245">
        <v>1.7740782E-2</v>
      </c>
      <c r="AA1245">
        <v>16147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16147</v>
      </c>
      <c r="AH1245">
        <f t="shared" si="19"/>
        <v>0</v>
      </c>
    </row>
    <row r="1246" spans="1:34" x14ac:dyDescent="0.25">
      <c r="A1246" s="1">
        <v>45345</v>
      </c>
      <c r="B1246">
        <v>697</v>
      </c>
      <c r="C1246">
        <v>7.2254340000000002E-3</v>
      </c>
      <c r="D1246">
        <v>1100</v>
      </c>
      <c r="E1246">
        <v>8.3743841999999999E-2</v>
      </c>
      <c r="F1246">
        <v>-7.6518408999999996E-2</v>
      </c>
      <c r="G1246">
        <v>7.6518408999999996E-2</v>
      </c>
      <c r="H1246">
        <v>1.1557853E-2</v>
      </c>
      <c r="I1246">
        <v>3.6338537999999997E-2</v>
      </c>
      <c r="J1246">
        <v>0</v>
      </c>
      <c r="K1246">
        <v>1</v>
      </c>
      <c r="L1246">
        <v>0</v>
      </c>
      <c r="M1246">
        <v>5</v>
      </c>
      <c r="N1246">
        <v>18.291481439999998</v>
      </c>
      <c r="O1246">
        <v>-16</v>
      </c>
      <c r="P1246">
        <v>5</v>
      </c>
      <c r="Q1246">
        <v>21</v>
      </c>
      <c r="R1246">
        <v>11152</v>
      </c>
      <c r="S1246">
        <v>-5500</v>
      </c>
      <c r="T1246">
        <v>80</v>
      </c>
      <c r="U1246">
        <v>-425</v>
      </c>
      <c r="V1246" t="s">
        <v>37</v>
      </c>
      <c r="W1246">
        <v>0</v>
      </c>
      <c r="X1246">
        <v>0</v>
      </c>
      <c r="Y1246">
        <v>0</v>
      </c>
      <c r="Z1246">
        <v>3.6338537999999997E-2</v>
      </c>
      <c r="AA1246">
        <v>16652</v>
      </c>
      <c r="AB1246">
        <v>0</v>
      </c>
      <c r="AC1246">
        <v>-345</v>
      </c>
      <c r="AD1246">
        <v>-2.0718232E-2</v>
      </c>
      <c r="AE1246">
        <v>0</v>
      </c>
      <c r="AF1246">
        <v>0</v>
      </c>
      <c r="AG1246">
        <v>0</v>
      </c>
      <c r="AH1246">
        <f t="shared" si="19"/>
        <v>0</v>
      </c>
    </row>
    <row r="1247" spans="1:34" x14ac:dyDescent="0.25">
      <c r="A1247" s="1">
        <v>45348</v>
      </c>
      <c r="B1247">
        <v>698</v>
      </c>
      <c r="C1247">
        <v>1.43472E-3</v>
      </c>
      <c r="D1247">
        <v>1115</v>
      </c>
      <c r="E1247">
        <v>1.3636364E-2</v>
      </c>
      <c r="F1247">
        <v>-1.2201643E-2</v>
      </c>
      <c r="G1247">
        <v>1.2201643E-2</v>
      </c>
      <c r="H1247">
        <v>9.9414940000000004E-3</v>
      </c>
      <c r="I1247">
        <v>3.2578243E-2</v>
      </c>
      <c r="J1247">
        <v>0</v>
      </c>
      <c r="K1247">
        <v>1</v>
      </c>
      <c r="L1247">
        <v>0</v>
      </c>
      <c r="M1247">
        <v>5</v>
      </c>
      <c r="N1247">
        <v>15.182762439999999</v>
      </c>
      <c r="O1247">
        <v>-16</v>
      </c>
      <c r="P1247">
        <v>5</v>
      </c>
      <c r="Q1247">
        <v>21</v>
      </c>
      <c r="R1247">
        <v>11168</v>
      </c>
      <c r="S1247">
        <v>-5575</v>
      </c>
      <c r="T1247">
        <v>96</v>
      </c>
      <c r="U1247">
        <v>-500</v>
      </c>
      <c r="V1247" t="s">
        <v>37</v>
      </c>
      <c r="W1247">
        <v>0</v>
      </c>
      <c r="X1247">
        <v>0</v>
      </c>
      <c r="Y1247">
        <v>0</v>
      </c>
      <c r="Z1247">
        <v>3.2578243E-2</v>
      </c>
      <c r="AA1247">
        <v>16743</v>
      </c>
      <c r="AB1247">
        <v>0</v>
      </c>
      <c r="AC1247">
        <v>-404</v>
      </c>
      <c r="AD1247">
        <v>-2.4129487000000002E-2</v>
      </c>
      <c r="AE1247">
        <v>0</v>
      </c>
      <c r="AF1247">
        <v>0</v>
      </c>
      <c r="AG1247">
        <v>0</v>
      </c>
      <c r="AH1247">
        <f t="shared" si="19"/>
        <v>0</v>
      </c>
    </row>
    <row r="1248" spans="1:34" x14ac:dyDescent="0.25">
      <c r="A1248" s="1">
        <v>45349</v>
      </c>
      <c r="B1248">
        <v>698</v>
      </c>
      <c r="C1248">
        <v>0</v>
      </c>
      <c r="D1248">
        <v>1115</v>
      </c>
      <c r="E1248">
        <v>0</v>
      </c>
      <c r="F1248">
        <v>0</v>
      </c>
      <c r="G1248">
        <v>0</v>
      </c>
      <c r="H1248">
        <v>9.2160639999999995E-3</v>
      </c>
      <c r="I1248">
        <v>3.5241887999999999E-2</v>
      </c>
      <c r="J1248">
        <v>1</v>
      </c>
      <c r="K1248">
        <v>0</v>
      </c>
      <c r="L1248">
        <v>-1</v>
      </c>
      <c r="M1248">
        <v>5</v>
      </c>
      <c r="O1248">
        <v>-16</v>
      </c>
      <c r="P1248">
        <v>5</v>
      </c>
      <c r="Q1248">
        <v>21</v>
      </c>
      <c r="R1248">
        <v>11168</v>
      </c>
      <c r="S1248">
        <v>-5575</v>
      </c>
      <c r="T1248">
        <v>96</v>
      </c>
      <c r="U1248">
        <v>-500</v>
      </c>
      <c r="V1248" t="s">
        <v>35</v>
      </c>
      <c r="W1248">
        <v>11168</v>
      </c>
      <c r="X1248">
        <v>-5575</v>
      </c>
      <c r="Y1248">
        <v>-404</v>
      </c>
      <c r="Z1248">
        <v>3.5241887999999999E-2</v>
      </c>
      <c r="AA1248">
        <v>16743</v>
      </c>
      <c r="AB1248">
        <v>0</v>
      </c>
      <c r="AC1248">
        <v>-404</v>
      </c>
      <c r="AD1248">
        <v>-2.4129487000000002E-2</v>
      </c>
      <c r="AE1248">
        <v>0</v>
      </c>
      <c r="AF1248">
        <v>-404</v>
      </c>
      <c r="AG1248">
        <v>0</v>
      </c>
      <c r="AH1248">
        <f t="shared" si="19"/>
        <v>-2.4129486949770053E-2</v>
      </c>
    </row>
    <row r="1249" spans="1:34" x14ac:dyDescent="0.25">
      <c r="A1249" s="1">
        <v>45351</v>
      </c>
      <c r="B1249">
        <v>690</v>
      </c>
      <c r="C1249">
        <v>-1.1461318E-2</v>
      </c>
      <c r="D1249">
        <v>1140</v>
      </c>
      <c r="E1249">
        <v>2.2421525000000001E-2</v>
      </c>
      <c r="F1249">
        <v>-3.3882843000000003E-2</v>
      </c>
      <c r="G1249">
        <v>3.3882843000000003E-2</v>
      </c>
      <c r="H1249">
        <v>1.0135144E-2</v>
      </c>
      <c r="I1249">
        <v>3.2137694000000001E-2</v>
      </c>
      <c r="J1249">
        <v>0</v>
      </c>
      <c r="K1249">
        <v>1</v>
      </c>
      <c r="L1249">
        <v>1</v>
      </c>
      <c r="M1249">
        <v>5</v>
      </c>
      <c r="N1249">
        <v>3.2321115229999999</v>
      </c>
      <c r="O1249">
        <v>17</v>
      </c>
      <c r="P1249">
        <v>-5</v>
      </c>
      <c r="Q1249">
        <v>22</v>
      </c>
      <c r="R1249">
        <v>-11730</v>
      </c>
      <c r="S1249">
        <v>5700</v>
      </c>
      <c r="T1249">
        <v>0</v>
      </c>
      <c r="U1249">
        <v>0</v>
      </c>
      <c r="V1249" t="s">
        <v>34</v>
      </c>
      <c r="W1249">
        <v>-11730</v>
      </c>
      <c r="X1249">
        <v>5700</v>
      </c>
      <c r="Y1249">
        <v>0</v>
      </c>
      <c r="Z1249">
        <v>3.2137694000000001E-2</v>
      </c>
      <c r="AA1249">
        <v>17430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17430</v>
      </c>
      <c r="AH1249">
        <f t="shared" si="19"/>
        <v>0</v>
      </c>
    </row>
    <row r="1250" spans="1:34" x14ac:dyDescent="0.25">
      <c r="A1250" s="1">
        <v>45352</v>
      </c>
      <c r="B1250">
        <v>689</v>
      </c>
      <c r="C1250">
        <v>-1.4492750000000001E-3</v>
      </c>
      <c r="D1250">
        <v>1105</v>
      </c>
      <c r="E1250">
        <v>-3.0701754000000001E-2</v>
      </c>
      <c r="F1250">
        <v>2.9252479000000001E-2</v>
      </c>
      <c r="G1250">
        <v>2.9252479000000001E-2</v>
      </c>
      <c r="H1250">
        <v>6.7844359999999996E-3</v>
      </c>
      <c r="I1250">
        <v>4.2001615999999999E-2</v>
      </c>
      <c r="J1250">
        <v>1</v>
      </c>
      <c r="K1250">
        <v>0</v>
      </c>
      <c r="L1250">
        <v>-1</v>
      </c>
      <c r="M1250">
        <v>5</v>
      </c>
      <c r="N1250">
        <v>33.97467726</v>
      </c>
      <c r="O1250">
        <v>-17</v>
      </c>
      <c r="P1250">
        <v>5</v>
      </c>
      <c r="Q1250">
        <v>22</v>
      </c>
      <c r="R1250">
        <v>11713</v>
      </c>
      <c r="S1250">
        <v>-5525</v>
      </c>
      <c r="T1250">
        <v>-17</v>
      </c>
      <c r="U1250">
        <v>175</v>
      </c>
      <c r="V1250" t="s">
        <v>35</v>
      </c>
      <c r="W1250">
        <v>11713</v>
      </c>
      <c r="X1250">
        <v>-5525</v>
      </c>
      <c r="Y1250">
        <v>158</v>
      </c>
      <c r="Z1250">
        <v>4.2001615999999999E-2</v>
      </c>
      <c r="AA1250">
        <v>17238</v>
      </c>
      <c r="AB1250">
        <v>0</v>
      </c>
      <c r="AC1250">
        <v>158</v>
      </c>
      <c r="AD1250">
        <v>9.1657960000000004E-3</v>
      </c>
      <c r="AE1250">
        <v>0</v>
      </c>
      <c r="AF1250">
        <v>158</v>
      </c>
      <c r="AG1250">
        <v>0</v>
      </c>
      <c r="AH1250">
        <f t="shared" si="19"/>
        <v>9.1657964961132377E-3</v>
      </c>
    </row>
    <row r="1251" spans="1:34" x14ac:dyDescent="0.25">
      <c r="A1251" s="1">
        <v>45355</v>
      </c>
      <c r="B1251">
        <v>725</v>
      </c>
      <c r="C1251">
        <v>5.2249637000000002E-2</v>
      </c>
      <c r="D1251">
        <v>1150</v>
      </c>
      <c r="E1251">
        <v>4.0723981999999999E-2</v>
      </c>
      <c r="F1251">
        <v>1.1525654999999999E-2</v>
      </c>
      <c r="G1251">
        <v>1.1525654999999999E-2</v>
      </c>
      <c r="H1251">
        <v>2.5164684E-2</v>
      </c>
      <c r="I1251">
        <v>2.6763035000000001E-2</v>
      </c>
      <c r="J1251">
        <v>1</v>
      </c>
      <c r="K1251">
        <v>0</v>
      </c>
      <c r="L1251">
        <v>0</v>
      </c>
      <c r="M1251">
        <v>5</v>
      </c>
      <c r="N1251">
        <v>1.2363083159999999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W1251">
        <v>0</v>
      </c>
      <c r="X1251">
        <v>0</v>
      </c>
      <c r="Y1251">
        <v>0</v>
      </c>
      <c r="Z1251">
        <v>2.6763035000000001E-2</v>
      </c>
      <c r="AA1251">
        <v>0</v>
      </c>
      <c r="AB1251" t="s">
        <v>33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f t="shared" si="19"/>
        <v>0</v>
      </c>
    </row>
    <row r="1252" spans="1:34" x14ac:dyDescent="0.25">
      <c r="A1252" s="1">
        <v>45356</v>
      </c>
      <c r="B1252">
        <v>730</v>
      </c>
      <c r="C1252">
        <v>6.8965520000000002E-3</v>
      </c>
      <c r="D1252">
        <v>1155</v>
      </c>
      <c r="E1252">
        <v>4.3478259999999999E-3</v>
      </c>
      <c r="F1252">
        <v>2.5487259999999999E-3</v>
      </c>
      <c r="G1252">
        <v>2.5487259999999999E-3</v>
      </c>
      <c r="H1252">
        <v>2.4917379E-2</v>
      </c>
      <c r="I1252">
        <v>2.6701801000000001E-2</v>
      </c>
      <c r="J1252">
        <v>1</v>
      </c>
      <c r="K1252">
        <v>0</v>
      </c>
      <c r="L1252">
        <v>0</v>
      </c>
      <c r="M1252">
        <v>5</v>
      </c>
      <c r="N1252">
        <v>0.997468731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W1252">
        <v>0</v>
      </c>
      <c r="X1252">
        <v>0</v>
      </c>
      <c r="Y1252">
        <v>0</v>
      </c>
      <c r="Z1252">
        <v>2.6701801000000001E-2</v>
      </c>
      <c r="AA1252">
        <v>0</v>
      </c>
      <c r="AB1252" t="s">
        <v>33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f t="shared" si="19"/>
        <v>0</v>
      </c>
    </row>
    <row r="1253" spans="1:34" x14ac:dyDescent="0.25">
      <c r="A1253" s="1">
        <v>45357</v>
      </c>
      <c r="B1253">
        <v>735</v>
      </c>
      <c r="C1253">
        <v>6.8493149999999999E-3</v>
      </c>
      <c r="D1253">
        <v>1190</v>
      </c>
      <c r="E1253">
        <v>3.0303030000000002E-2</v>
      </c>
      <c r="F1253">
        <v>-2.3453715E-2</v>
      </c>
      <c r="G1253">
        <v>2.3453715E-2</v>
      </c>
      <c r="H1253">
        <v>2.4466102999999999E-2</v>
      </c>
      <c r="I1253">
        <v>2.8020551000000001E-2</v>
      </c>
      <c r="J1253">
        <v>0</v>
      </c>
      <c r="K1253">
        <v>0</v>
      </c>
      <c r="L1253">
        <v>0</v>
      </c>
      <c r="M1253">
        <v>5</v>
      </c>
      <c r="N1253">
        <v>7.1630591629999998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W1253">
        <v>0</v>
      </c>
      <c r="X1253">
        <v>0</v>
      </c>
      <c r="Y1253">
        <v>0</v>
      </c>
      <c r="Z1253">
        <v>2.8020551000000001E-2</v>
      </c>
      <c r="AA1253">
        <v>0</v>
      </c>
      <c r="AB1253" t="s">
        <v>33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f t="shared" si="19"/>
        <v>0</v>
      </c>
    </row>
    <row r="1254" spans="1:34" x14ac:dyDescent="0.25">
      <c r="A1254" s="1">
        <v>45358</v>
      </c>
      <c r="B1254">
        <v>760</v>
      </c>
      <c r="C1254">
        <v>3.4013605000000002E-2</v>
      </c>
      <c r="D1254">
        <v>1230</v>
      </c>
      <c r="E1254">
        <v>3.3613444999999999E-2</v>
      </c>
      <c r="F1254">
        <v>4.0015999999999999E-4</v>
      </c>
      <c r="G1254">
        <v>4.0015999999999999E-4</v>
      </c>
      <c r="H1254">
        <v>2.2587151999999999E-2</v>
      </c>
      <c r="I1254">
        <v>2.9335666E-2</v>
      </c>
      <c r="J1254">
        <v>1</v>
      </c>
      <c r="K1254">
        <v>0</v>
      </c>
      <c r="L1254">
        <v>0</v>
      </c>
      <c r="M1254">
        <v>5</v>
      </c>
      <c r="N1254">
        <v>1.599380805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W1254">
        <v>0</v>
      </c>
      <c r="X1254">
        <v>0</v>
      </c>
      <c r="Y1254">
        <v>0</v>
      </c>
      <c r="Z1254">
        <v>2.9335666E-2</v>
      </c>
      <c r="AA1254">
        <v>0</v>
      </c>
      <c r="AB1254" t="s">
        <v>33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f t="shared" si="19"/>
        <v>0</v>
      </c>
    </row>
    <row r="1255" spans="1:34" x14ac:dyDescent="0.25">
      <c r="A1255" s="1">
        <v>45359</v>
      </c>
      <c r="B1255">
        <v>784</v>
      </c>
      <c r="C1255">
        <v>3.1578947000000003E-2</v>
      </c>
      <c r="D1255">
        <v>1230</v>
      </c>
      <c r="E1255">
        <v>0</v>
      </c>
      <c r="F1255">
        <v>3.1578947000000003E-2</v>
      </c>
      <c r="G1255">
        <v>3.1578947000000003E-2</v>
      </c>
      <c r="H1255">
        <v>1.9465173999999998E-2</v>
      </c>
      <c r="I1255">
        <v>1.8369773999999998E-2</v>
      </c>
      <c r="J1255">
        <v>1</v>
      </c>
      <c r="K1255">
        <v>0</v>
      </c>
      <c r="L1255">
        <v>0</v>
      </c>
      <c r="M1255">
        <v>5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W1255">
        <v>0</v>
      </c>
      <c r="X1255">
        <v>0</v>
      </c>
      <c r="Y1255">
        <v>0</v>
      </c>
      <c r="Z1255">
        <v>1.9465173999999998E-2</v>
      </c>
      <c r="AA1255">
        <v>0</v>
      </c>
      <c r="AB1255" t="s">
        <v>33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f t="shared" si="19"/>
        <v>0</v>
      </c>
    </row>
    <row r="1256" spans="1:34" x14ac:dyDescent="0.25">
      <c r="A1256" s="1">
        <v>45362</v>
      </c>
      <c r="B1256">
        <v>766</v>
      </c>
      <c r="C1256">
        <v>-2.2959184000000001E-2</v>
      </c>
      <c r="D1256">
        <v>1225</v>
      </c>
      <c r="E1256">
        <v>-4.0650410000000001E-3</v>
      </c>
      <c r="F1256">
        <v>-1.8894142999999999E-2</v>
      </c>
      <c r="G1256">
        <v>1.8894142999999999E-2</v>
      </c>
      <c r="H1256">
        <v>2.3130235999999998E-2</v>
      </c>
      <c r="I1256">
        <v>1.7743002000000001E-2</v>
      </c>
      <c r="J1256">
        <v>0</v>
      </c>
      <c r="K1256">
        <v>0</v>
      </c>
      <c r="L1256">
        <v>0</v>
      </c>
      <c r="M1256">
        <v>5</v>
      </c>
      <c r="N1256">
        <v>0.28314948099999998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W1256">
        <v>0</v>
      </c>
      <c r="X1256">
        <v>0</v>
      </c>
      <c r="Y1256">
        <v>0</v>
      </c>
      <c r="Z1256">
        <v>2.3130235999999998E-2</v>
      </c>
      <c r="AA1256">
        <v>0</v>
      </c>
      <c r="AB1256" t="s">
        <v>33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f t="shared" si="19"/>
        <v>0</v>
      </c>
    </row>
    <row r="1257" spans="1:34" x14ac:dyDescent="0.25">
      <c r="A1257" s="1">
        <v>45363</v>
      </c>
      <c r="B1257">
        <v>770</v>
      </c>
      <c r="C1257">
        <v>5.2219320000000003E-3</v>
      </c>
      <c r="D1257">
        <v>1215</v>
      </c>
      <c r="E1257">
        <v>-8.1632649999999994E-3</v>
      </c>
      <c r="F1257">
        <v>1.3385197E-2</v>
      </c>
      <c r="G1257">
        <v>1.3385197E-2</v>
      </c>
      <c r="H1257">
        <v>2.3221445E-2</v>
      </c>
      <c r="I1257">
        <v>1.9981037E-2</v>
      </c>
      <c r="J1257">
        <v>1</v>
      </c>
      <c r="K1257">
        <v>0</v>
      </c>
      <c r="L1257">
        <v>0</v>
      </c>
      <c r="M1257">
        <v>5</v>
      </c>
      <c r="N1257">
        <v>2.4667108400000002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W1257">
        <v>0</v>
      </c>
      <c r="X1257">
        <v>0</v>
      </c>
      <c r="Y1257">
        <v>0</v>
      </c>
      <c r="Z1257">
        <v>2.3221445E-2</v>
      </c>
      <c r="AA1257">
        <v>0</v>
      </c>
      <c r="AB1257" t="s">
        <v>33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f t="shared" si="19"/>
        <v>0</v>
      </c>
    </row>
    <row r="1258" spans="1:34" x14ac:dyDescent="0.25">
      <c r="A1258" s="1">
        <v>45364</v>
      </c>
      <c r="B1258">
        <v>779</v>
      </c>
      <c r="C1258">
        <v>1.1688311999999999E-2</v>
      </c>
      <c r="D1258">
        <v>1215</v>
      </c>
      <c r="E1258">
        <v>0</v>
      </c>
      <c r="F1258">
        <v>1.1688311999999999E-2</v>
      </c>
      <c r="G1258">
        <v>1.1688311999999999E-2</v>
      </c>
      <c r="H1258">
        <v>2.3108851999999999E-2</v>
      </c>
      <c r="I1258">
        <v>1.6744867E-2</v>
      </c>
      <c r="J1258">
        <v>1</v>
      </c>
      <c r="K1258">
        <v>0</v>
      </c>
      <c r="L1258">
        <v>0</v>
      </c>
      <c r="M1258">
        <v>5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W1258">
        <v>0</v>
      </c>
      <c r="X1258">
        <v>0</v>
      </c>
      <c r="Y1258">
        <v>0</v>
      </c>
      <c r="Z1258">
        <v>2.3108851999999999E-2</v>
      </c>
      <c r="AA1258">
        <v>0</v>
      </c>
      <c r="AB1258" t="s">
        <v>33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f t="shared" si="19"/>
        <v>0</v>
      </c>
    </row>
    <row r="1259" spans="1:34" x14ac:dyDescent="0.25">
      <c r="A1259" s="1">
        <v>45365</v>
      </c>
      <c r="B1259">
        <v>784</v>
      </c>
      <c r="C1259">
        <v>6.4184849999999998E-3</v>
      </c>
      <c r="D1259">
        <v>1150</v>
      </c>
      <c r="E1259">
        <v>-5.3497942E-2</v>
      </c>
      <c r="F1259">
        <v>5.9916428000000001E-2</v>
      </c>
      <c r="G1259">
        <v>5.9916428000000001E-2</v>
      </c>
      <c r="H1259">
        <v>1.9527512E-2</v>
      </c>
      <c r="I1259">
        <v>2.2810114999999999E-2</v>
      </c>
      <c r="J1259">
        <v>1</v>
      </c>
      <c r="K1259">
        <v>1</v>
      </c>
      <c r="L1259">
        <v>1</v>
      </c>
      <c r="M1259">
        <v>5</v>
      </c>
      <c r="N1259">
        <v>12.226054</v>
      </c>
      <c r="O1259">
        <v>-62</v>
      </c>
      <c r="P1259">
        <v>5</v>
      </c>
      <c r="Q1259">
        <v>67</v>
      </c>
      <c r="R1259">
        <v>48608</v>
      </c>
      <c r="S1259">
        <v>-5750</v>
      </c>
      <c r="T1259">
        <v>0</v>
      </c>
      <c r="U1259">
        <v>0</v>
      </c>
      <c r="V1259" t="s">
        <v>34</v>
      </c>
      <c r="W1259">
        <v>48608</v>
      </c>
      <c r="X1259">
        <v>-5750</v>
      </c>
      <c r="Y1259">
        <v>0</v>
      </c>
      <c r="Z1259">
        <v>2.2810114999999999E-2</v>
      </c>
      <c r="AA1259">
        <v>54358</v>
      </c>
      <c r="AB1259">
        <v>0.01</v>
      </c>
      <c r="AC1259">
        <v>0</v>
      </c>
      <c r="AD1259">
        <v>0</v>
      </c>
      <c r="AE1259">
        <v>0</v>
      </c>
      <c r="AF1259">
        <v>0</v>
      </c>
      <c r="AG1259">
        <v>54358</v>
      </c>
      <c r="AH1259">
        <f t="shared" si="19"/>
        <v>0</v>
      </c>
    </row>
    <row r="1260" spans="1:34" x14ac:dyDescent="0.25">
      <c r="A1260" s="1">
        <v>45366</v>
      </c>
      <c r="B1260">
        <v>753</v>
      </c>
      <c r="C1260">
        <v>-3.9540815999999999E-2</v>
      </c>
      <c r="D1260">
        <v>1135</v>
      </c>
      <c r="E1260">
        <v>-1.3043478000000001E-2</v>
      </c>
      <c r="F1260">
        <v>-2.6497337999999999E-2</v>
      </c>
      <c r="G1260">
        <v>2.6497337999999999E-2</v>
      </c>
      <c r="H1260">
        <v>2.2298009000000001E-2</v>
      </c>
      <c r="I1260">
        <v>2.1647123000000001E-2</v>
      </c>
      <c r="J1260">
        <v>0</v>
      </c>
      <c r="K1260">
        <v>0</v>
      </c>
      <c r="L1260">
        <v>-1</v>
      </c>
      <c r="M1260">
        <v>5</v>
      </c>
      <c r="N1260">
        <v>0.497220096</v>
      </c>
      <c r="O1260">
        <v>62</v>
      </c>
      <c r="P1260">
        <v>-5</v>
      </c>
      <c r="Q1260">
        <v>67</v>
      </c>
      <c r="R1260">
        <v>-46686</v>
      </c>
      <c r="S1260">
        <v>5675</v>
      </c>
      <c r="T1260">
        <v>1922</v>
      </c>
      <c r="U1260">
        <v>-75</v>
      </c>
      <c r="V1260" t="s">
        <v>35</v>
      </c>
      <c r="W1260">
        <v>-46686</v>
      </c>
      <c r="X1260">
        <v>5675</v>
      </c>
      <c r="Y1260">
        <v>1847</v>
      </c>
      <c r="Z1260">
        <v>2.2298009000000001E-2</v>
      </c>
      <c r="AA1260">
        <v>52361</v>
      </c>
      <c r="AB1260">
        <v>0.01</v>
      </c>
      <c r="AC1260">
        <v>1847</v>
      </c>
      <c r="AD1260">
        <v>3.5274344999999999E-2</v>
      </c>
      <c r="AE1260">
        <v>0</v>
      </c>
      <c r="AF1260">
        <v>1847</v>
      </c>
      <c r="AG1260">
        <v>0</v>
      </c>
      <c r="AH1260">
        <f t="shared" si="19"/>
        <v>3.527434540975153E-2</v>
      </c>
    </row>
    <row r="1261" spans="1:34" x14ac:dyDescent="0.25">
      <c r="A1261" s="1">
        <v>45369</v>
      </c>
      <c r="B1261">
        <v>764</v>
      </c>
      <c r="C1261">
        <v>1.4608233999999999E-2</v>
      </c>
      <c r="D1261">
        <v>1170</v>
      </c>
      <c r="E1261">
        <v>3.0837004000000001E-2</v>
      </c>
      <c r="F1261">
        <v>-1.6228770999999999E-2</v>
      </c>
      <c r="G1261">
        <v>1.6228770999999999E-2</v>
      </c>
      <c r="H1261">
        <v>2.2256709E-2</v>
      </c>
      <c r="I1261">
        <v>3.0268990999999999E-2</v>
      </c>
      <c r="J1261">
        <v>0</v>
      </c>
      <c r="K1261">
        <v>0</v>
      </c>
      <c r="L1261">
        <v>0</v>
      </c>
      <c r="M1261">
        <v>5</v>
      </c>
      <c r="N1261">
        <v>3.2327117150000002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W1261">
        <v>0</v>
      </c>
      <c r="X1261">
        <v>0</v>
      </c>
      <c r="Y1261">
        <v>0</v>
      </c>
      <c r="Z1261">
        <v>3.0268990999999999E-2</v>
      </c>
      <c r="AA1261">
        <v>0</v>
      </c>
      <c r="AB1261" t="s">
        <v>33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f t="shared" si="19"/>
        <v>0</v>
      </c>
    </row>
    <row r="1262" spans="1:34" x14ac:dyDescent="0.25">
      <c r="A1262" s="1">
        <v>45370</v>
      </c>
      <c r="B1262">
        <v>762</v>
      </c>
      <c r="C1262">
        <v>-2.6178009999999999E-3</v>
      </c>
      <c r="D1262">
        <v>1150</v>
      </c>
      <c r="E1262">
        <v>-1.7094017E-2</v>
      </c>
      <c r="F1262">
        <v>1.4476216E-2</v>
      </c>
      <c r="G1262">
        <v>1.4476216E-2</v>
      </c>
      <c r="H1262">
        <v>2.2043745E-2</v>
      </c>
      <c r="I1262">
        <v>3.0486691999999999E-2</v>
      </c>
      <c r="J1262">
        <v>1</v>
      </c>
      <c r="K1262">
        <v>0</v>
      </c>
      <c r="L1262">
        <v>0</v>
      </c>
      <c r="M1262">
        <v>5</v>
      </c>
      <c r="N1262">
        <v>9.8548578859999996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W1262">
        <v>0</v>
      </c>
      <c r="X1262">
        <v>0</v>
      </c>
      <c r="Y1262">
        <v>0</v>
      </c>
      <c r="Z1262">
        <v>3.0486691999999999E-2</v>
      </c>
      <c r="AA1262">
        <v>0</v>
      </c>
      <c r="AB1262" t="s">
        <v>33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f t="shared" si="19"/>
        <v>0</v>
      </c>
    </row>
    <row r="1263" spans="1:34" x14ac:dyDescent="0.25">
      <c r="A1263" s="1">
        <v>45371</v>
      </c>
      <c r="B1263">
        <v>758</v>
      </c>
      <c r="C1263">
        <v>-5.2493440000000004E-3</v>
      </c>
      <c r="D1263">
        <v>1130</v>
      </c>
      <c r="E1263">
        <v>-1.7391304E-2</v>
      </c>
      <c r="F1263">
        <v>1.2141961E-2</v>
      </c>
      <c r="G1263">
        <v>1.2141961E-2</v>
      </c>
      <c r="H1263">
        <v>2.0695941999999998E-2</v>
      </c>
      <c r="I1263">
        <v>2.9968425E-2</v>
      </c>
      <c r="J1263">
        <v>1</v>
      </c>
      <c r="K1263">
        <v>0</v>
      </c>
      <c r="L1263">
        <v>0</v>
      </c>
      <c r="M1263">
        <v>5</v>
      </c>
      <c r="N1263">
        <v>4.9389698290000004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W1263">
        <v>0</v>
      </c>
      <c r="X1263">
        <v>0</v>
      </c>
      <c r="Y1263">
        <v>0</v>
      </c>
      <c r="Z1263">
        <v>2.9968425E-2</v>
      </c>
      <c r="AA1263">
        <v>0</v>
      </c>
      <c r="AB1263" t="s">
        <v>33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f t="shared" si="19"/>
        <v>0</v>
      </c>
    </row>
    <row r="1264" spans="1:34" x14ac:dyDescent="0.25">
      <c r="A1264" s="1">
        <v>45372</v>
      </c>
      <c r="B1264">
        <v>784</v>
      </c>
      <c r="C1264">
        <v>3.4300791999999997E-2</v>
      </c>
      <c r="D1264">
        <v>1140</v>
      </c>
      <c r="E1264">
        <v>8.8495580000000004E-3</v>
      </c>
      <c r="F1264">
        <v>2.5451234E-2</v>
      </c>
      <c r="G1264">
        <v>2.5451234E-2</v>
      </c>
      <c r="H1264">
        <v>2.7328459999999999E-2</v>
      </c>
      <c r="I1264">
        <v>2.1105275E-2</v>
      </c>
      <c r="J1264">
        <v>1</v>
      </c>
      <c r="K1264">
        <v>0</v>
      </c>
      <c r="L1264">
        <v>0</v>
      </c>
      <c r="M1264">
        <v>5</v>
      </c>
      <c r="N1264">
        <v>0.37515108200000002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W1264">
        <v>0</v>
      </c>
      <c r="X1264">
        <v>0</v>
      </c>
      <c r="Y1264">
        <v>0</v>
      </c>
      <c r="Z1264">
        <v>2.7328459999999999E-2</v>
      </c>
      <c r="AA1264">
        <v>0</v>
      </c>
      <c r="AB1264" t="s">
        <v>33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f t="shared" si="19"/>
        <v>0</v>
      </c>
    </row>
    <row r="1265" spans="1:34" x14ac:dyDescent="0.25">
      <c r="A1265" s="1">
        <v>45373</v>
      </c>
      <c r="B1265">
        <v>785</v>
      </c>
      <c r="C1265">
        <v>1.2755100000000001E-3</v>
      </c>
      <c r="D1265">
        <v>1125</v>
      </c>
      <c r="E1265">
        <v>-1.3157894999999999E-2</v>
      </c>
      <c r="F1265">
        <v>1.4433405E-2</v>
      </c>
      <c r="G1265">
        <v>1.4433405E-2</v>
      </c>
      <c r="H1265">
        <v>1.6338818000000001E-2</v>
      </c>
      <c r="I1265">
        <v>2.1120883999999999E-2</v>
      </c>
      <c r="J1265">
        <v>1</v>
      </c>
      <c r="K1265">
        <v>0</v>
      </c>
      <c r="L1265">
        <v>0</v>
      </c>
      <c r="M1265">
        <v>5</v>
      </c>
      <c r="N1265">
        <v>14.78377472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W1265">
        <v>0</v>
      </c>
      <c r="X1265">
        <v>0</v>
      </c>
      <c r="Y1265">
        <v>0</v>
      </c>
      <c r="Z1265">
        <v>2.1120883999999999E-2</v>
      </c>
      <c r="AA1265">
        <v>0</v>
      </c>
      <c r="AB1265" t="s">
        <v>33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f t="shared" si="19"/>
        <v>0</v>
      </c>
    </row>
    <row r="1266" spans="1:34" x14ac:dyDescent="0.25">
      <c r="A1266" s="1">
        <v>45376</v>
      </c>
      <c r="B1266">
        <v>780</v>
      </c>
      <c r="C1266">
        <v>-6.3694270000000004E-3</v>
      </c>
      <c r="D1266">
        <v>1120</v>
      </c>
      <c r="E1266">
        <v>-4.4444439999999997E-3</v>
      </c>
      <c r="F1266">
        <v>-1.924982E-3</v>
      </c>
      <c r="G1266">
        <v>1.924982E-3</v>
      </c>
      <c r="H1266">
        <v>1.7044592000000001E-2</v>
      </c>
      <c r="I1266">
        <v>1.1090019E-2</v>
      </c>
      <c r="J1266">
        <v>0</v>
      </c>
      <c r="K1266">
        <v>0</v>
      </c>
      <c r="L1266">
        <v>0</v>
      </c>
      <c r="M1266">
        <v>5</v>
      </c>
      <c r="N1266">
        <v>1.0019373220000001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W1266">
        <v>0</v>
      </c>
      <c r="X1266">
        <v>0</v>
      </c>
      <c r="Y1266">
        <v>0</v>
      </c>
      <c r="Z1266">
        <v>1.7044592000000001E-2</v>
      </c>
      <c r="AA1266">
        <v>0</v>
      </c>
      <c r="AB1266" t="s">
        <v>33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f t="shared" si="19"/>
        <v>0</v>
      </c>
    </row>
    <row r="1267" spans="1:34" x14ac:dyDescent="0.25">
      <c r="A1267" s="1">
        <v>45377</v>
      </c>
      <c r="B1267">
        <v>782</v>
      </c>
      <c r="C1267">
        <v>2.5641029999999999E-3</v>
      </c>
      <c r="D1267">
        <v>1130</v>
      </c>
      <c r="E1267">
        <v>8.9285709999999997E-3</v>
      </c>
      <c r="F1267">
        <v>-6.3644690000000002E-3</v>
      </c>
      <c r="G1267">
        <v>6.3644690000000002E-3</v>
      </c>
      <c r="H1267">
        <v>1.6674768999999999E-2</v>
      </c>
      <c r="I1267">
        <v>1.2187083E-2</v>
      </c>
      <c r="J1267">
        <v>0</v>
      </c>
      <c r="K1267">
        <v>0</v>
      </c>
      <c r="L1267">
        <v>0</v>
      </c>
      <c r="M1267">
        <v>5</v>
      </c>
      <c r="N1267">
        <v>5.0317409570000002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W1267">
        <v>0</v>
      </c>
      <c r="X1267">
        <v>0</v>
      </c>
      <c r="Y1267">
        <v>0</v>
      </c>
      <c r="Z1267">
        <v>1.6674768999999999E-2</v>
      </c>
      <c r="AA1267">
        <v>0</v>
      </c>
      <c r="AB1267" t="s">
        <v>33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f t="shared" si="19"/>
        <v>0</v>
      </c>
    </row>
    <row r="1268" spans="1:34" x14ac:dyDescent="0.25">
      <c r="A1268" s="1">
        <v>45378</v>
      </c>
      <c r="B1268">
        <v>779</v>
      </c>
      <c r="C1268">
        <v>-3.8363170000000001E-3</v>
      </c>
      <c r="D1268">
        <v>1165</v>
      </c>
      <c r="E1268">
        <v>3.0973450999999999E-2</v>
      </c>
      <c r="F1268">
        <v>-3.4809767999999998E-2</v>
      </c>
      <c r="G1268">
        <v>3.4809767999999998E-2</v>
      </c>
      <c r="H1268">
        <v>1.6461802000000001E-2</v>
      </c>
      <c r="I1268">
        <v>1.6704917E-2</v>
      </c>
      <c r="J1268">
        <v>0</v>
      </c>
      <c r="K1268">
        <v>1</v>
      </c>
      <c r="L1268">
        <v>1</v>
      </c>
      <c r="M1268">
        <v>5</v>
      </c>
      <c r="N1268">
        <v>12.074344610000001</v>
      </c>
      <c r="O1268">
        <v>61</v>
      </c>
      <c r="P1268">
        <v>-5</v>
      </c>
      <c r="Q1268">
        <v>66</v>
      </c>
      <c r="R1268">
        <v>-47519</v>
      </c>
      <c r="S1268">
        <v>5825</v>
      </c>
      <c r="T1268">
        <v>0</v>
      </c>
      <c r="U1268">
        <v>0</v>
      </c>
      <c r="V1268" t="s">
        <v>34</v>
      </c>
      <c r="W1268">
        <v>-47519</v>
      </c>
      <c r="X1268">
        <v>5825</v>
      </c>
      <c r="Y1268">
        <v>0</v>
      </c>
      <c r="Z1268">
        <v>1.6704917E-2</v>
      </c>
      <c r="AA1268">
        <v>53344</v>
      </c>
      <c r="AB1268">
        <v>0.01</v>
      </c>
      <c r="AC1268">
        <v>0</v>
      </c>
      <c r="AD1268">
        <v>0</v>
      </c>
      <c r="AE1268">
        <v>0</v>
      </c>
      <c r="AF1268">
        <v>0</v>
      </c>
      <c r="AG1268">
        <v>53344</v>
      </c>
      <c r="AH1268">
        <f t="shared" si="19"/>
        <v>0</v>
      </c>
    </row>
    <row r="1269" spans="1:34" x14ac:dyDescent="0.25">
      <c r="A1269" s="1">
        <v>45379</v>
      </c>
      <c r="B1269">
        <v>769</v>
      </c>
      <c r="C1269">
        <v>-1.283697E-2</v>
      </c>
      <c r="D1269">
        <v>1160</v>
      </c>
      <c r="E1269">
        <v>-4.2918449999999999E-3</v>
      </c>
      <c r="F1269">
        <v>-8.5451250000000006E-3</v>
      </c>
      <c r="G1269">
        <v>8.5451250000000006E-3</v>
      </c>
      <c r="H1269">
        <v>6.2153929999999996E-3</v>
      </c>
      <c r="I1269">
        <v>1.7215696999999999E-2</v>
      </c>
      <c r="J1269">
        <v>0</v>
      </c>
      <c r="K1269">
        <v>1</v>
      </c>
      <c r="L1269">
        <v>0</v>
      </c>
      <c r="M1269">
        <v>5</v>
      </c>
      <c r="N1269">
        <v>0.50432812199999999</v>
      </c>
      <c r="O1269">
        <v>-61</v>
      </c>
      <c r="P1269">
        <v>5</v>
      </c>
      <c r="Q1269">
        <v>66</v>
      </c>
      <c r="R1269">
        <v>46909</v>
      </c>
      <c r="S1269">
        <v>-5800</v>
      </c>
      <c r="T1269">
        <v>-610</v>
      </c>
      <c r="U1269">
        <v>25</v>
      </c>
      <c r="V1269" t="s">
        <v>37</v>
      </c>
      <c r="W1269">
        <v>0</v>
      </c>
      <c r="X1269">
        <v>0</v>
      </c>
      <c r="Y1269">
        <v>0</v>
      </c>
      <c r="Z1269">
        <v>1.7215696999999999E-2</v>
      </c>
      <c r="AA1269">
        <v>52709</v>
      </c>
      <c r="AB1269">
        <v>0.01</v>
      </c>
      <c r="AC1269">
        <v>-585</v>
      </c>
      <c r="AD1269">
        <v>-1.1098673999999999E-2</v>
      </c>
      <c r="AE1269">
        <v>0</v>
      </c>
      <c r="AF1269">
        <v>0</v>
      </c>
      <c r="AG1269">
        <v>0</v>
      </c>
      <c r="AH1269">
        <f t="shared" si="19"/>
        <v>0</v>
      </c>
    </row>
    <row r="1270" spans="1:34" x14ac:dyDescent="0.25">
      <c r="A1270" s="1">
        <v>45380</v>
      </c>
      <c r="B1270">
        <v>776</v>
      </c>
      <c r="C1270">
        <v>9.1027309999999993E-3</v>
      </c>
      <c r="D1270">
        <v>1185</v>
      </c>
      <c r="E1270">
        <v>2.1551724000000001E-2</v>
      </c>
      <c r="F1270">
        <v>-1.2448993E-2</v>
      </c>
      <c r="G1270">
        <v>1.2448993E-2</v>
      </c>
      <c r="H1270">
        <v>8.4206139999999999E-3</v>
      </c>
      <c r="I1270">
        <v>1.5699504999999999E-2</v>
      </c>
      <c r="J1270">
        <v>0</v>
      </c>
      <c r="K1270">
        <v>1</v>
      </c>
      <c r="L1270">
        <v>0</v>
      </c>
      <c r="M1270">
        <v>5</v>
      </c>
      <c r="N1270">
        <v>3.6154881990000001</v>
      </c>
      <c r="O1270">
        <v>-61</v>
      </c>
      <c r="P1270">
        <v>5</v>
      </c>
      <c r="Q1270">
        <v>66</v>
      </c>
      <c r="R1270">
        <v>47336</v>
      </c>
      <c r="S1270">
        <v>-5925</v>
      </c>
      <c r="T1270">
        <v>-183</v>
      </c>
      <c r="U1270">
        <v>-100</v>
      </c>
      <c r="V1270" t="s">
        <v>37</v>
      </c>
      <c r="W1270">
        <v>0</v>
      </c>
      <c r="X1270">
        <v>0</v>
      </c>
      <c r="Y1270">
        <v>0</v>
      </c>
      <c r="Z1270">
        <v>1.5699504999999999E-2</v>
      </c>
      <c r="AA1270">
        <v>53261</v>
      </c>
      <c r="AB1270">
        <v>0.01</v>
      </c>
      <c r="AC1270">
        <v>-283</v>
      </c>
      <c r="AD1270">
        <v>-5.3134560000000003E-3</v>
      </c>
      <c r="AE1270">
        <v>0</v>
      </c>
      <c r="AF1270">
        <v>0</v>
      </c>
      <c r="AG1270">
        <v>0</v>
      </c>
      <c r="AH1270">
        <f t="shared" si="19"/>
        <v>0</v>
      </c>
    </row>
    <row r="1271" spans="1:34" x14ac:dyDescent="0.25">
      <c r="A1271" s="1">
        <v>45383</v>
      </c>
      <c r="B1271">
        <v>770</v>
      </c>
      <c r="C1271">
        <v>-7.7319590000000001E-3</v>
      </c>
      <c r="D1271">
        <v>1160</v>
      </c>
      <c r="E1271">
        <v>-2.1097046000000001E-2</v>
      </c>
      <c r="F1271">
        <v>1.3365088000000001E-2</v>
      </c>
      <c r="G1271">
        <v>1.3365088000000001E-2</v>
      </c>
      <c r="H1271">
        <v>8.6062359999999997E-3</v>
      </c>
      <c r="I1271">
        <v>2.0657452999999999E-2</v>
      </c>
      <c r="J1271">
        <v>1</v>
      </c>
      <c r="K1271">
        <v>0</v>
      </c>
      <c r="L1271">
        <v>-1</v>
      </c>
      <c r="M1271">
        <v>5</v>
      </c>
      <c r="N1271">
        <v>4.11054487</v>
      </c>
      <c r="O1271">
        <v>-61</v>
      </c>
      <c r="P1271">
        <v>5</v>
      </c>
      <c r="Q1271">
        <v>66</v>
      </c>
      <c r="R1271">
        <v>46970</v>
      </c>
      <c r="S1271">
        <v>-5800</v>
      </c>
      <c r="T1271">
        <v>-549</v>
      </c>
      <c r="U1271">
        <v>25</v>
      </c>
      <c r="V1271" t="s">
        <v>35</v>
      </c>
      <c r="W1271">
        <v>46970</v>
      </c>
      <c r="X1271">
        <v>-5800</v>
      </c>
      <c r="Y1271">
        <v>-524</v>
      </c>
      <c r="Z1271">
        <v>2.0657452999999999E-2</v>
      </c>
      <c r="AA1271">
        <v>52770</v>
      </c>
      <c r="AB1271">
        <v>0.01</v>
      </c>
      <c r="AC1271">
        <v>-524</v>
      </c>
      <c r="AD1271">
        <v>-9.9298839999999999E-3</v>
      </c>
      <c r="AE1271">
        <v>0</v>
      </c>
      <c r="AF1271">
        <v>-524</v>
      </c>
      <c r="AG1271">
        <v>0</v>
      </c>
      <c r="AH1271">
        <f t="shared" si="19"/>
        <v>-9.929884404017434E-3</v>
      </c>
    </row>
    <row r="1272" spans="1:34" x14ac:dyDescent="0.25">
      <c r="A1272" s="1">
        <v>45384</v>
      </c>
      <c r="B1272">
        <v>790</v>
      </c>
      <c r="C1272">
        <v>2.5974026000000001E-2</v>
      </c>
      <c r="D1272">
        <v>1165</v>
      </c>
      <c r="E1272">
        <v>4.3103450000000001E-3</v>
      </c>
      <c r="F1272">
        <v>2.1663681000000001E-2</v>
      </c>
      <c r="G1272">
        <v>2.1663681000000001E-2</v>
      </c>
      <c r="H1272">
        <v>1.5604661000000001E-2</v>
      </c>
      <c r="I1272">
        <v>2.0664812000000001E-2</v>
      </c>
      <c r="J1272">
        <v>1</v>
      </c>
      <c r="K1272">
        <v>1</v>
      </c>
      <c r="L1272">
        <v>1</v>
      </c>
      <c r="M1272">
        <v>5</v>
      </c>
      <c r="N1272">
        <v>0.244721192</v>
      </c>
      <c r="O1272">
        <v>-2</v>
      </c>
      <c r="P1272">
        <v>5</v>
      </c>
      <c r="Q1272">
        <v>7</v>
      </c>
      <c r="R1272">
        <v>1580</v>
      </c>
      <c r="S1272">
        <v>-5825</v>
      </c>
      <c r="T1272">
        <v>0</v>
      </c>
      <c r="U1272">
        <v>0</v>
      </c>
      <c r="V1272" t="s">
        <v>34</v>
      </c>
      <c r="W1272">
        <v>1580</v>
      </c>
      <c r="X1272">
        <v>-5825</v>
      </c>
      <c r="Y1272">
        <v>0</v>
      </c>
      <c r="Z1272">
        <v>2.0664812000000001E-2</v>
      </c>
      <c r="AA1272">
        <v>7405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7405</v>
      </c>
      <c r="AH1272">
        <f t="shared" si="19"/>
        <v>0</v>
      </c>
    </row>
    <row r="1273" spans="1:34" x14ac:dyDescent="0.25">
      <c r="A1273" s="1">
        <v>45385</v>
      </c>
      <c r="B1273">
        <v>780</v>
      </c>
      <c r="C1273">
        <v>-1.2658228000000001E-2</v>
      </c>
      <c r="D1273">
        <v>1160</v>
      </c>
      <c r="E1273">
        <v>-4.2918449999999999E-3</v>
      </c>
      <c r="F1273">
        <v>-8.3663820000000003E-3</v>
      </c>
      <c r="G1273">
        <v>8.3663820000000003E-3</v>
      </c>
      <c r="H1273">
        <v>1.6893987999999999E-2</v>
      </c>
      <c r="I1273">
        <v>1.5508584000000001E-2</v>
      </c>
      <c r="J1273">
        <v>0</v>
      </c>
      <c r="K1273">
        <v>0</v>
      </c>
      <c r="L1273">
        <v>-1</v>
      </c>
      <c r="M1273">
        <v>5</v>
      </c>
      <c r="N1273">
        <v>0.50423682199999997</v>
      </c>
      <c r="O1273">
        <v>2</v>
      </c>
      <c r="P1273">
        <v>-5</v>
      </c>
      <c r="Q1273">
        <v>7</v>
      </c>
      <c r="R1273">
        <v>-1560</v>
      </c>
      <c r="S1273">
        <v>5800</v>
      </c>
      <c r="T1273">
        <v>20</v>
      </c>
      <c r="U1273">
        <v>-25</v>
      </c>
      <c r="V1273" t="s">
        <v>35</v>
      </c>
      <c r="W1273">
        <v>-1560</v>
      </c>
      <c r="X1273">
        <v>5800</v>
      </c>
      <c r="Y1273">
        <v>-5</v>
      </c>
      <c r="Z1273">
        <v>1.6893987999999999E-2</v>
      </c>
      <c r="AA1273">
        <v>7360</v>
      </c>
      <c r="AB1273">
        <v>0</v>
      </c>
      <c r="AC1273">
        <v>-5</v>
      </c>
      <c r="AD1273">
        <v>-6.7934799999999997E-4</v>
      </c>
      <c r="AE1273">
        <v>0</v>
      </c>
      <c r="AF1273">
        <v>-5</v>
      </c>
      <c r="AG1273">
        <v>0</v>
      </c>
      <c r="AH1273">
        <f t="shared" si="19"/>
        <v>-6.793478260869565E-4</v>
      </c>
    </row>
    <row r="1274" spans="1:34" x14ac:dyDescent="0.25">
      <c r="A1274" s="1">
        <v>45390</v>
      </c>
      <c r="B1274">
        <v>783</v>
      </c>
      <c r="C1274">
        <v>3.8461540000000001E-3</v>
      </c>
      <c r="D1274">
        <v>1150</v>
      </c>
      <c r="E1274">
        <v>-8.6206900000000003E-3</v>
      </c>
      <c r="F1274">
        <v>1.2466843999999999E-2</v>
      </c>
      <c r="G1274">
        <v>1.2466843999999999E-2</v>
      </c>
      <c r="H1274">
        <v>1.5195593E-2</v>
      </c>
      <c r="I1274">
        <v>1.5871366000000001E-2</v>
      </c>
      <c r="J1274">
        <v>1</v>
      </c>
      <c r="K1274">
        <v>0</v>
      </c>
      <c r="L1274">
        <v>0</v>
      </c>
      <c r="M1274">
        <v>5</v>
      </c>
      <c r="N1274">
        <v>3.2919364070000001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W1274">
        <v>0</v>
      </c>
      <c r="X1274">
        <v>0</v>
      </c>
      <c r="Y1274">
        <v>0</v>
      </c>
      <c r="Z1274">
        <v>1.5871366000000001E-2</v>
      </c>
      <c r="AA1274">
        <v>0</v>
      </c>
      <c r="AB1274" t="s">
        <v>33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f t="shared" si="19"/>
        <v>0</v>
      </c>
    </row>
    <row r="1275" spans="1:34" x14ac:dyDescent="0.25">
      <c r="A1275" s="1">
        <v>45391</v>
      </c>
      <c r="B1275">
        <v>819</v>
      </c>
      <c r="C1275">
        <v>4.5977010999999998E-2</v>
      </c>
      <c r="D1275">
        <v>1160</v>
      </c>
      <c r="E1275">
        <v>8.6956519999999999E-3</v>
      </c>
      <c r="F1275">
        <v>3.7281359E-2</v>
      </c>
      <c r="G1275">
        <v>3.7281359E-2</v>
      </c>
      <c r="H1275">
        <v>2.4542591999999998E-2</v>
      </c>
      <c r="I1275">
        <v>1.1659598E-2</v>
      </c>
      <c r="J1275">
        <v>1</v>
      </c>
      <c r="K1275">
        <v>1</v>
      </c>
      <c r="L1275">
        <v>1</v>
      </c>
      <c r="M1275">
        <v>5</v>
      </c>
      <c r="N1275">
        <v>0.26787705000000001</v>
      </c>
      <c r="O1275">
        <v>-2</v>
      </c>
      <c r="P1275">
        <v>5</v>
      </c>
      <c r="Q1275">
        <v>7</v>
      </c>
      <c r="R1275">
        <v>1638</v>
      </c>
      <c r="S1275">
        <v>-5800</v>
      </c>
      <c r="T1275">
        <v>0</v>
      </c>
      <c r="U1275">
        <v>0</v>
      </c>
      <c r="V1275" t="s">
        <v>34</v>
      </c>
      <c r="W1275">
        <v>1638</v>
      </c>
      <c r="X1275">
        <v>-5800</v>
      </c>
      <c r="Y1275">
        <v>0</v>
      </c>
      <c r="Z1275">
        <v>2.4542591999999998E-2</v>
      </c>
      <c r="AA1275">
        <v>7438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7438</v>
      </c>
      <c r="AH1275">
        <f t="shared" si="19"/>
        <v>0</v>
      </c>
    </row>
    <row r="1276" spans="1:34" x14ac:dyDescent="0.25">
      <c r="A1276" s="1">
        <v>45392</v>
      </c>
      <c r="B1276">
        <v>815</v>
      </c>
      <c r="C1276">
        <v>-4.8840050000000003E-3</v>
      </c>
      <c r="D1276">
        <v>1195</v>
      </c>
      <c r="E1276">
        <v>3.0172414000000002E-2</v>
      </c>
      <c r="F1276">
        <v>-3.5056418999999998E-2</v>
      </c>
      <c r="G1276">
        <v>3.5056418999999998E-2</v>
      </c>
      <c r="H1276">
        <v>2.4024387000000001E-2</v>
      </c>
      <c r="I1276">
        <v>1.511704E-2</v>
      </c>
      <c r="J1276">
        <v>0</v>
      </c>
      <c r="K1276">
        <v>0</v>
      </c>
      <c r="L1276">
        <v>-1</v>
      </c>
      <c r="M1276">
        <v>5</v>
      </c>
      <c r="N1276">
        <v>9.0582491540000003</v>
      </c>
      <c r="O1276">
        <v>2</v>
      </c>
      <c r="P1276">
        <v>-5</v>
      </c>
      <c r="Q1276">
        <v>7</v>
      </c>
      <c r="R1276">
        <v>-1630</v>
      </c>
      <c r="S1276">
        <v>5975</v>
      </c>
      <c r="T1276">
        <v>8</v>
      </c>
      <c r="U1276">
        <v>175</v>
      </c>
      <c r="V1276" t="s">
        <v>35</v>
      </c>
      <c r="W1276">
        <v>-1630</v>
      </c>
      <c r="X1276">
        <v>5975</v>
      </c>
      <c r="Y1276">
        <v>183</v>
      </c>
      <c r="Z1276">
        <v>2.4024387000000001E-2</v>
      </c>
      <c r="AA1276">
        <v>7605</v>
      </c>
      <c r="AB1276">
        <v>0</v>
      </c>
      <c r="AC1276">
        <v>183</v>
      </c>
      <c r="AD1276">
        <v>2.4063115999999999E-2</v>
      </c>
      <c r="AE1276">
        <v>0</v>
      </c>
      <c r="AF1276">
        <v>183</v>
      </c>
      <c r="AG1276">
        <v>0</v>
      </c>
      <c r="AH1276">
        <f t="shared" si="19"/>
        <v>2.4063116370808678E-2</v>
      </c>
    </row>
    <row r="1277" spans="1:34" x14ac:dyDescent="0.25">
      <c r="A1277" s="1">
        <v>45393</v>
      </c>
      <c r="B1277">
        <v>820</v>
      </c>
      <c r="C1277">
        <v>6.1349689999999997E-3</v>
      </c>
      <c r="D1277">
        <v>1200</v>
      </c>
      <c r="E1277">
        <v>4.1840999999999996E-3</v>
      </c>
      <c r="F1277">
        <v>1.950869E-3</v>
      </c>
      <c r="G1277">
        <v>1.950869E-3</v>
      </c>
      <c r="H1277">
        <v>2.2667401E-2</v>
      </c>
      <c r="I1277">
        <v>1.5120783E-2</v>
      </c>
      <c r="J1277">
        <v>1</v>
      </c>
      <c r="K1277">
        <v>0</v>
      </c>
      <c r="L1277">
        <v>0</v>
      </c>
      <c r="M1277">
        <v>5</v>
      </c>
      <c r="N1277">
        <v>0.99806102699999999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W1277">
        <v>0</v>
      </c>
      <c r="X1277">
        <v>0</v>
      </c>
      <c r="Y1277">
        <v>0</v>
      </c>
      <c r="Z1277">
        <v>2.2667401E-2</v>
      </c>
      <c r="AA1277">
        <v>0</v>
      </c>
      <c r="AB1277" t="s">
        <v>33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f t="shared" si="19"/>
        <v>0</v>
      </c>
    </row>
    <row r="1278" spans="1:34" x14ac:dyDescent="0.25">
      <c r="A1278" s="1">
        <v>45394</v>
      </c>
      <c r="B1278">
        <v>818</v>
      </c>
      <c r="C1278">
        <v>-2.4390240000000001E-3</v>
      </c>
      <c r="D1278">
        <v>1180</v>
      </c>
      <c r="E1278">
        <v>-1.6666667E-2</v>
      </c>
      <c r="F1278">
        <v>1.4227642E-2</v>
      </c>
      <c r="G1278">
        <v>1.4227642E-2</v>
      </c>
      <c r="H1278">
        <v>2.0754781999999999E-2</v>
      </c>
      <c r="I1278">
        <v>1.7975483E-2</v>
      </c>
      <c r="J1278">
        <v>1</v>
      </c>
      <c r="K1278">
        <v>0</v>
      </c>
      <c r="L1278">
        <v>0</v>
      </c>
      <c r="M1278">
        <v>5</v>
      </c>
      <c r="N1278">
        <v>9.8573757129999997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W1278">
        <v>0</v>
      </c>
      <c r="X1278">
        <v>0</v>
      </c>
      <c r="Y1278">
        <v>0</v>
      </c>
      <c r="Z1278">
        <v>2.0754781999999999E-2</v>
      </c>
      <c r="AA1278">
        <v>0</v>
      </c>
      <c r="AB1278" t="s">
        <v>33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f t="shared" si="19"/>
        <v>0</v>
      </c>
    </row>
    <row r="1279" spans="1:34" x14ac:dyDescent="0.25">
      <c r="A1279" s="1">
        <v>45397</v>
      </c>
      <c r="B1279">
        <v>806</v>
      </c>
      <c r="C1279">
        <v>-1.4669926999999999E-2</v>
      </c>
      <c r="D1279">
        <v>1110</v>
      </c>
      <c r="E1279">
        <v>-5.9322034000000003E-2</v>
      </c>
      <c r="F1279">
        <v>4.4652107000000003E-2</v>
      </c>
      <c r="G1279">
        <v>4.4652107000000003E-2</v>
      </c>
      <c r="H1279">
        <v>2.3532431999999999E-2</v>
      </c>
      <c r="I1279">
        <v>3.3850458E-2</v>
      </c>
      <c r="J1279">
        <v>1</v>
      </c>
      <c r="K1279">
        <v>1</v>
      </c>
      <c r="L1279">
        <v>1</v>
      </c>
      <c r="M1279">
        <v>5</v>
      </c>
      <c r="N1279">
        <v>5.5689847329999997</v>
      </c>
      <c r="O1279">
        <v>-28</v>
      </c>
      <c r="P1279">
        <v>5</v>
      </c>
      <c r="Q1279">
        <v>33</v>
      </c>
      <c r="R1279">
        <v>22568</v>
      </c>
      <c r="S1279">
        <v>-5550</v>
      </c>
      <c r="T1279">
        <v>0</v>
      </c>
      <c r="U1279">
        <v>0</v>
      </c>
      <c r="V1279" t="s">
        <v>34</v>
      </c>
      <c r="W1279">
        <v>22568</v>
      </c>
      <c r="X1279">
        <v>-5550</v>
      </c>
      <c r="Y1279">
        <v>0</v>
      </c>
      <c r="Z1279">
        <v>3.3850458E-2</v>
      </c>
      <c r="AA1279">
        <v>28118</v>
      </c>
      <c r="AB1279">
        <v>0.01</v>
      </c>
      <c r="AC1279">
        <v>0</v>
      </c>
      <c r="AD1279">
        <v>0</v>
      </c>
      <c r="AE1279">
        <v>0</v>
      </c>
      <c r="AF1279">
        <v>0</v>
      </c>
      <c r="AG1279">
        <v>28118</v>
      </c>
      <c r="AH1279">
        <f t="shared" si="19"/>
        <v>0</v>
      </c>
    </row>
    <row r="1280" spans="1:34" x14ac:dyDescent="0.25">
      <c r="A1280" s="1">
        <v>45398</v>
      </c>
      <c r="B1280">
        <v>788</v>
      </c>
      <c r="C1280">
        <v>-2.2332505999999998E-2</v>
      </c>
      <c r="D1280">
        <v>1055</v>
      </c>
      <c r="E1280">
        <v>-4.9549549999999998E-2</v>
      </c>
      <c r="F1280">
        <v>2.7217043E-2</v>
      </c>
      <c r="G1280">
        <v>2.7217043E-2</v>
      </c>
      <c r="H1280">
        <v>1.1064414E-2</v>
      </c>
      <c r="I1280">
        <v>3.7138588E-2</v>
      </c>
      <c r="J1280">
        <v>1</v>
      </c>
      <c r="K1280">
        <v>1</v>
      </c>
      <c r="L1280">
        <v>0</v>
      </c>
      <c r="M1280">
        <v>5</v>
      </c>
      <c r="N1280">
        <v>2.970492701</v>
      </c>
      <c r="O1280">
        <v>28</v>
      </c>
      <c r="P1280">
        <v>-5</v>
      </c>
      <c r="Q1280">
        <v>33</v>
      </c>
      <c r="R1280">
        <v>-22064</v>
      </c>
      <c r="S1280">
        <v>5275</v>
      </c>
      <c r="T1280">
        <v>504</v>
      </c>
      <c r="U1280">
        <v>-275</v>
      </c>
      <c r="V1280" t="s">
        <v>37</v>
      </c>
      <c r="W1280">
        <v>0</v>
      </c>
      <c r="X1280">
        <v>0</v>
      </c>
      <c r="Y1280">
        <v>0</v>
      </c>
      <c r="Z1280">
        <v>3.7138588E-2</v>
      </c>
      <c r="AA1280">
        <v>27339</v>
      </c>
      <c r="AB1280">
        <v>0.01</v>
      </c>
      <c r="AC1280">
        <v>229</v>
      </c>
      <c r="AD1280">
        <v>8.3763120000000003E-3</v>
      </c>
      <c r="AE1280">
        <v>0</v>
      </c>
      <c r="AF1280">
        <v>0</v>
      </c>
      <c r="AG1280">
        <v>0</v>
      </c>
      <c r="AH1280">
        <f t="shared" si="19"/>
        <v>0</v>
      </c>
    </row>
    <row r="1281" spans="1:34" x14ac:dyDescent="0.25">
      <c r="A1281" s="1">
        <v>45399</v>
      </c>
      <c r="B1281">
        <v>804</v>
      </c>
      <c r="C1281">
        <v>2.0304569000000001E-2</v>
      </c>
      <c r="D1281">
        <v>1050</v>
      </c>
      <c r="E1281">
        <v>-4.7393360000000002E-3</v>
      </c>
      <c r="F1281">
        <v>2.5043905000000002E-2</v>
      </c>
      <c r="G1281">
        <v>2.5043905000000002E-2</v>
      </c>
      <c r="H1281">
        <v>1.6852298000000002E-2</v>
      </c>
      <c r="I1281">
        <v>2.7893072000000001E-2</v>
      </c>
      <c r="J1281">
        <v>1</v>
      </c>
      <c r="K1281">
        <v>1</v>
      </c>
      <c r="L1281">
        <v>0</v>
      </c>
      <c r="M1281">
        <v>5</v>
      </c>
      <c r="N1281">
        <v>0.30482952499999999</v>
      </c>
      <c r="O1281">
        <v>28</v>
      </c>
      <c r="P1281">
        <v>-5</v>
      </c>
      <c r="Q1281">
        <v>33</v>
      </c>
      <c r="R1281">
        <v>-22512</v>
      </c>
      <c r="S1281">
        <v>5250</v>
      </c>
      <c r="T1281">
        <v>56</v>
      </c>
      <c r="U1281">
        <v>-300</v>
      </c>
      <c r="V1281" t="s">
        <v>37</v>
      </c>
      <c r="W1281">
        <v>0</v>
      </c>
      <c r="X1281">
        <v>0</v>
      </c>
      <c r="Y1281">
        <v>0</v>
      </c>
      <c r="Z1281">
        <v>2.7893072000000001E-2</v>
      </c>
      <c r="AA1281">
        <v>27762</v>
      </c>
      <c r="AB1281">
        <v>0.01</v>
      </c>
      <c r="AC1281">
        <v>-244</v>
      </c>
      <c r="AD1281">
        <v>-8.7889920000000007E-3</v>
      </c>
      <c r="AE1281">
        <v>0</v>
      </c>
      <c r="AF1281">
        <v>0</v>
      </c>
      <c r="AG1281">
        <v>0</v>
      </c>
      <c r="AH1281">
        <f t="shared" si="19"/>
        <v>0</v>
      </c>
    </row>
    <row r="1282" spans="1:34" x14ac:dyDescent="0.25">
      <c r="A1282" s="1">
        <v>45400</v>
      </c>
      <c r="B1282">
        <v>804</v>
      </c>
      <c r="C1282">
        <v>0</v>
      </c>
      <c r="D1282">
        <v>1050</v>
      </c>
      <c r="E1282">
        <v>0</v>
      </c>
      <c r="F1282">
        <v>0</v>
      </c>
      <c r="G1282">
        <v>0</v>
      </c>
      <c r="H1282">
        <v>1.6270586E-2</v>
      </c>
      <c r="I1282">
        <v>2.6833052E-2</v>
      </c>
      <c r="J1282">
        <v>1</v>
      </c>
      <c r="K1282">
        <v>1</v>
      </c>
      <c r="L1282">
        <v>0</v>
      </c>
      <c r="M1282">
        <v>5</v>
      </c>
      <c r="O1282">
        <v>28</v>
      </c>
      <c r="P1282">
        <v>-5</v>
      </c>
      <c r="Q1282">
        <v>33</v>
      </c>
      <c r="R1282">
        <v>-22512</v>
      </c>
      <c r="S1282">
        <v>5250</v>
      </c>
      <c r="T1282">
        <v>56</v>
      </c>
      <c r="U1282">
        <v>-300</v>
      </c>
      <c r="V1282" t="s">
        <v>37</v>
      </c>
      <c r="W1282">
        <v>0</v>
      </c>
      <c r="X1282">
        <v>0</v>
      </c>
      <c r="Y1282">
        <v>0</v>
      </c>
      <c r="Z1282">
        <v>2.6833052E-2</v>
      </c>
      <c r="AA1282">
        <v>27762</v>
      </c>
      <c r="AB1282">
        <v>0.01</v>
      </c>
      <c r="AC1282">
        <v>-244</v>
      </c>
      <c r="AD1282">
        <v>-8.7889920000000007E-3</v>
      </c>
      <c r="AE1282">
        <v>0</v>
      </c>
      <c r="AF1282">
        <v>0</v>
      </c>
      <c r="AG1282">
        <v>0</v>
      </c>
      <c r="AH1282">
        <f t="shared" si="19"/>
        <v>0</v>
      </c>
    </row>
    <row r="1283" spans="1:34" x14ac:dyDescent="0.25">
      <c r="A1283" s="1">
        <v>45401</v>
      </c>
      <c r="B1283">
        <v>750</v>
      </c>
      <c r="C1283">
        <v>-6.7164179000000004E-2</v>
      </c>
      <c r="D1283">
        <v>993</v>
      </c>
      <c r="E1283">
        <v>-5.4285713999999999E-2</v>
      </c>
      <c r="F1283">
        <v>-1.2878465E-2</v>
      </c>
      <c r="G1283">
        <v>1.2878465E-2</v>
      </c>
      <c r="H1283">
        <v>3.2521845000000001E-2</v>
      </c>
      <c r="I1283">
        <v>2.8748068000000002E-2</v>
      </c>
      <c r="J1283">
        <v>0</v>
      </c>
      <c r="K1283">
        <v>0</v>
      </c>
      <c r="L1283">
        <v>-1</v>
      </c>
      <c r="M1283">
        <v>5</v>
      </c>
      <c r="N1283">
        <v>1.0701282539999999</v>
      </c>
      <c r="O1283">
        <v>28</v>
      </c>
      <c r="P1283">
        <v>-5</v>
      </c>
      <c r="Q1283">
        <v>33</v>
      </c>
      <c r="R1283">
        <v>-21000</v>
      </c>
      <c r="S1283">
        <v>4965</v>
      </c>
      <c r="T1283">
        <v>1568</v>
      </c>
      <c r="U1283">
        <v>-585</v>
      </c>
      <c r="V1283" t="s">
        <v>35</v>
      </c>
      <c r="W1283">
        <v>-21000</v>
      </c>
      <c r="X1283">
        <v>4965</v>
      </c>
      <c r="Y1283">
        <v>983</v>
      </c>
      <c r="Z1283">
        <v>3.2521845000000001E-2</v>
      </c>
      <c r="AA1283">
        <v>25965</v>
      </c>
      <c r="AB1283">
        <v>0.01</v>
      </c>
      <c r="AC1283">
        <v>983</v>
      </c>
      <c r="AD1283">
        <v>3.7858655999999997E-2</v>
      </c>
      <c r="AE1283">
        <v>0</v>
      </c>
      <c r="AF1283">
        <v>983</v>
      </c>
      <c r="AG1283">
        <v>0</v>
      </c>
      <c r="AH1283">
        <f t="shared" ref="AH1283:AH1346" si="20">IF(AF1283&lt;&gt;0,AF1283/AA1283,0)</f>
        <v>3.7858655882919312E-2</v>
      </c>
    </row>
    <row r="1284" spans="1:34" x14ac:dyDescent="0.25">
      <c r="A1284" s="1">
        <v>45404</v>
      </c>
      <c r="B1284">
        <v>742</v>
      </c>
      <c r="C1284">
        <v>-1.0666666999999999E-2</v>
      </c>
      <c r="D1284">
        <v>966</v>
      </c>
      <c r="E1284">
        <v>-2.7190332000000001E-2</v>
      </c>
      <c r="F1284">
        <v>1.6523665999999999E-2</v>
      </c>
      <c r="G1284">
        <v>1.6523665999999999E-2</v>
      </c>
      <c r="H1284">
        <v>3.2635625000000001E-2</v>
      </c>
      <c r="I1284">
        <v>2.4886987999999999E-2</v>
      </c>
      <c r="J1284">
        <v>1</v>
      </c>
      <c r="K1284">
        <v>0</v>
      </c>
      <c r="L1284">
        <v>0</v>
      </c>
      <c r="M1284">
        <v>5</v>
      </c>
      <c r="N1284">
        <v>3.3186313630000002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W1284">
        <v>0</v>
      </c>
      <c r="X1284">
        <v>0</v>
      </c>
      <c r="Y1284">
        <v>0</v>
      </c>
      <c r="Z1284">
        <v>3.2635625000000001E-2</v>
      </c>
      <c r="AA1284">
        <v>0</v>
      </c>
      <c r="AB1284" t="s">
        <v>33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f t="shared" si="20"/>
        <v>0</v>
      </c>
    </row>
    <row r="1285" spans="1:34" x14ac:dyDescent="0.25">
      <c r="A1285" s="1">
        <v>45405</v>
      </c>
      <c r="B1285">
        <v>754</v>
      </c>
      <c r="C1285">
        <v>1.6172506999999999E-2</v>
      </c>
      <c r="D1285">
        <v>972</v>
      </c>
      <c r="E1285">
        <v>6.2111800000000002E-3</v>
      </c>
      <c r="F1285">
        <v>9.9613270000000007E-3</v>
      </c>
      <c r="G1285">
        <v>9.9613270000000007E-3</v>
      </c>
      <c r="H1285">
        <v>3.5201573999999999E-2</v>
      </c>
      <c r="I1285">
        <v>2.483525E-2</v>
      </c>
      <c r="J1285">
        <v>1</v>
      </c>
      <c r="K1285">
        <v>0</v>
      </c>
      <c r="L1285">
        <v>0</v>
      </c>
      <c r="M1285">
        <v>5</v>
      </c>
      <c r="N1285">
        <v>0.49509860500000002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W1285">
        <v>0</v>
      </c>
      <c r="X1285">
        <v>0</v>
      </c>
      <c r="Y1285">
        <v>0</v>
      </c>
      <c r="Z1285">
        <v>3.5201573999999999E-2</v>
      </c>
      <c r="AA1285">
        <v>0</v>
      </c>
      <c r="AB1285" t="s">
        <v>33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f t="shared" si="20"/>
        <v>0</v>
      </c>
    </row>
    <row r="1286" spans="1:34" x14ac:dyDescent="0.25">
      <c r="A1286" s="1">
        <v>45406</v>
      </c>
      <c r="B1286">
        <v>783</v>
      </c>
      <c r="C1286">
        <v>3.8461538000000003E-2</v>
      </c>
      <c r="D1286">
        <v>1010</v>
      </c>
      <c r="E1286">
        <v>3.9094650000000002E-2</v>
      </c>
      <c r="F1286">
        <v>-6.3311200000000002E-4</v>
      </c>
      <c r="G1286">
        <v>6.3311200000000002E-4</v>
      </c>
      <c r="H1286">
        <v>3.9553843999999998E-2</v>
      </c>
      <c r="I1286">
        <v>3.5325508999999998E-2</v>
      </c>
      <c r="J1286">
        <v>0</v>
      </c>
      <c r="K1286">
        <v>0</v>
      </c>
      <c r="L1286">
        <v>0</v>
      </c>
      <c r="M1286">
        <v>5</v>
      </c>
      <c r="N1286">
        <v>1.3111436970000001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W1286">
        <v>0</v>
      </c>
      <c r="X1286">
        <v>0</v>
      </c>
      <c r="Y1286">
        <v>0</v>
      </c>
      <c r="Z1286">
        <v>3.9553843999999998E-2</v>
      </c>
      <c r="AA1286">
        <v>0</v>
      </c>
      <c r="AB1286" t="s">
        <v>33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f t="shared" si="20"/>
        <v>0</v>
      </c>
    </row>
    <row r="1287" spans="1:34" x14ac:dyDescent="0.25">
      <c r="A1287" s="1">
        <v>45407</v>
      </c>
      <c r="B1287">
        <v>766</v>
      </c>
      <c r="C1287">
        <v>-2.1711366999999999E-2</v>
      </c>
      <c r="D1287">
        <v>981</v>
      </c>
      <c r="E1287">
        <v>-2.8712871000000001E-2</v>
      </c>
      <c r="F1287">
        <v>7.0015049999999999E-3</v>
      </c>
      <c r="G1287">
        <v>7.0015049999999999E-3</v>
      </c>
      <c r="H1287">
        <v>4.0105109999999999E-2</v>
      </c>
      <c r="I1287">
        <v>3.6179032E-2</v>
      </c>
      <c r="J1287">
        <v>1</v>
      </c>
      <c r="K1287">
        <v>0</v>
      </c>
      <c r="L1287">
        <v>0</v>
      </c>
      <c r="M1287">
        <v>5</v>
      </c>
      <c r="N1287">
        <v>1.69367354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W1287">
        <v>0</v>
      </c>
      <c r="X1287">
        <v>0</v>
      </c>
      <c r="Y1287">
        <v>0</v>
      </c>
      <c r="Z1287">
        <v>4.0105109999999999E-2</v>
      </c>
      <c r="AA1287">
        <v>0</v>
      </c>
      <c r="AB1287" t="s">
        <v>33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f t="shared" si="20"/>
        <v>0</v>
      </c>
    </row>
    <row r="1288" spans="1:34" x14ac:dyDescent="0.25">
      <c r="A1288" s="1">
        <v>45408</v>
      </c>
      <c r="B1288">
        <v>782</v>
      </c>
      <c r="C1288">
        <v>2.0887728000000001E-2</v>
      </c>
      <c r="D1288">
        <v>1005</v>
      </c>
      <c r="E1288">
        <v>2.4464831999999999E-2</v>
      </c>
      <c r="F1288">
        <v>-3.5771029999999999E-3</v>
      </c>
      <c r="G1288">
        <v>3.5771029999999999E-3</v>
      </c>
      <c r="H1288">
        <v>2.4443924999999998E-2</v>
      </c>
      <c r="I1288">
        <v>3.0375895999999999E-2</v>
      </c>
      <c r="J1288">
        <v>0</v>
      </c>
      <c r="K1288">
        <v>0</v>
      </c>
      <c r="L1288">
        <v>0</v>
      </c>
      <c r="M1288">
        <v>5</v>
      </c>
      <c r="N1288">
        <v>1.505255872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W1288">
        <v>0</v>
      </c>
      <c r="X1288">
        <v>0</v>
      </c>
      <c r="Y1288">
        <v>0</v>
      </c>
      <c r="Z1288">
        <v>3.0375895999999999E-2</v>
      </c>
      <c r="AA1288">
        <v>0</v>
      </c>
      <c r="AB1288" t="s">
        <v>33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f t="shared" si="20"/>
        <v>0</v>
      </c>
    </row>
    <row r="1289" spans="1:34" x14ac:dyDescent="0.25">
      <c r="A1289" s="1">
        <v>45411</v>
      </c>
      <c r="B1289">
        <v>795</v>
      </c>
      <c r="C1289">
        <v>1.6624040999999999E-2</v>
      </c>
      <c r="D1289">
        <v>1015</v>
      </c>
      <c r="E1289">
        <v>9.9502489999999996E-3</v>
      </c>
      <c r="F1289">
        <v>6.6737919999999996E-3</v>
      </c>
      <c r="G1289">
        <v>6.6737919999999996E-3</v>
      </c>
      <c r="H1289">
        <v>2.1981111000000001E-2</v>
      </c>
      <c r="I1289">
        <v>2.5340535000000001E-2</v>
      </c>
      <c r="J1289">
        <v>1</v>
      </c>
      <c r="K1289">
        <v>0</v>
      </c>
      <c r="L1289">
        <v>0</v>
      </c>
      <c r="M1289">
        <v>5</v>
      </c>
      <c r="N1289">
        <v>0.76418103000000004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W1289">
        <v>0</v>
      </c>
      <c r="X1289">
        <v>0</v>
      </c>
      <c r="Y1289">
        <v>0</v>
      </c>
      <c r="Z1289">
        <v>2.5340535000000001E-2</v>
      </c>
      <c r="AA1289">
        <v>0</v>
      </c>
      <c r="AB1289" t="s">
        <v>33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f t="shared" si="20"/>
        <v>0</v>
      </c>
    </row>
    <row r="1290" spans="1:34" x14ac:dyDescent="0.25">
      <c r="A1290" s="1">
        <v>45412</v>
      </c>
      <c r="B1290">
        <v>790</v>
      </c>
      <c r="C1290">
        <v>-6.2893080000000004E-3</v>
      </c>
      <c r="D1290">
        <v>992</v>
      </c>
      <c r="E1290">
        <v>-2.2660099E-2</v>
      </c>
      <c r="F1290">
        <v>1.637079E-2</v>
      </c>
      <c r="G1290">
        <v>1.637079E-2</v>
      </c>
      <c r="H1290">
        <v>2.3678101999999999E-2</v>
      </c>
      <c r="I1290">
        <v>2.9435645999999999E-2</v>
      </c>
      <c r="J1290">
        <v>1</v>
      </c>
      <c r="K1290">
        <v>0</v>
      </c>
      <c r="L1290">
        <v>0</v>
      </c>
      <c r="M1290">
        <v>5</v>
      </c>
      <c r="N1290">
        <v>4.5242177459999997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W1290">
        <v>0</v>
      </c>
      <c r="X1290">
        <v>0</v>
      </c>
      <c r="Y1290">
        <v>0</v>
      </c>
      <c r="Z1290">
        <v>2.9435645999999999E-2</v>
      </c>
      <c r="AA1290">
        <v>0</v>
      </c>
      <c r="AB1290" t="s">
        <v>33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f t="shared" si="20"/>
        <v>0</v>
      </c>
    </row>
    <row r="1291" spans="1:34" x14ac:dyDescent="0.25">
      <c r="A1291" s="1">
        <v>45414</v>
      </c>
      <c r="B1291">
        <v>772</v>
      </c>
      <c r="C1291">
        <v>-2.2784809999999999E-2</v>
      </c>
      <c r="D1291">
        <v>1000</v>
      </c>
      <c r="E1291">
        <v>8.0645160000000007E-3</v>
      </c>
      <c r="F1291">
        <v>-3.0849326E-2</v>
      </c>
      <c r="G1291">
        <v>3.0849326E-2</v>
      </c>
      <c r="H1291">
        <v>2.0660978E-2</v>
      </c>
      <c r="I1291">
        <v>2.2829051999999999E-2</v>
      </c>
      <c r="J1291">
        <v>0</v>
      </c>
      <c r="K1291">
        <v>1</v>
      </c>
      <c r="L1291">
        <v>1</v>
      </c>
      <c r="M1291">
        <v>5</v>
      </c>
      <c r="N1291">
        <v>0.458474938</v>
      </c>
      <c r="O1291">
        <v>3</v>
      </c>
      <c r="P1291">
        <v>-5</v>
      </c>
      <c r="Q1291">
        <v>8</v>
      </c>
      <c r="R1291">
        <v>-2316</v>
      </c>
      <c r="S1291">
        <v>5000</v>
      </c>
      <c r="T1291">
        <v>0</v>
      </c>
      <c r="U1291">
        <v>0</v>
      </c>
      <c r="V1291" t="s">
        <v>34</v>
      </c>
      <c r="W1291">
        <v>-2316</v>
      </c>
      <c r="X1291">
        <v>5000</v>
      </c>
      <c r="Y1291">
        <v>0</v>
      </c>
      <c r="Z1291">
        <v>2.2829051999999999E-2</v>
      </c>
      <c r="AA1291">
        <v>7316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7316</v>
      </c>
      <c r="AH1291">
        <f t="shared" si="20"/>
        <v>0</v>
      </c>
    </row>
    <row r="1292" spans="1:34" x14ac:dyDescent="0.25">
      <c r="A1292" s="1">
        <v>45415</v>
      </c>
      <c r="B1292">
        <v>780</v>
      </c>
      <c r="C1292">
        <v>1.0362694E-2</v>
      </c>
      <c r="D1292">
        <v>1040</v>
      </c>
      <c r="E1292">
        <v>0.04</v>
      </c>
      <c r="F1292">
        <v>-2.9637305999999999E-2</v>
      </c>
      <c r="G1292">
        <v>2.9637305999999999E-2</v>
      </c>
      <c r="H1292">
        <v>1.8083512999999999E-2</v>
      </c>
      <c r="I1292">
        <v>2.3239929999999999E-2</v>
      </c>
      <c r="J1292">
        <v>0</v>
      </c>
      <c r="K1292">
        <v>1</v>
      </c>
      <c r="L1292">
        <v>0</v>
      </c>
      <c r="M1292">
        <v>5</v>
      </c>
      <c r="N1292">
        <v>5.1466666669999999</v>
      </c>
      <c r="O1292">
        <v>-3</v>
      </c>
      <c r="P1292">
        <v>5</v>
      </c>
      <c r="Q1292">
        <v>8</v>
      </c>
      <c r="R1292">
        <v>2340</v>
      </c>
      <c r="S1292">
        <v>-5200</v>
      </c>
      <c r="T1292">
        <v>24</v>
      </c>
      <c r="U1292">
        <v>-200</v>
      </c>
      <c r="V1292" t="s">
        <v>37</v>
      </c>
      <c r="W1292">
        <v>0</v>
      </c>
      <c r="X1292">
        <v>0</v>
      </c>
      <c r="Y1292">
        <v>0</v>
      </c>
      <c r="Z1292">
        <v>2.3239929999999999E-2</v>
      </c>
      <c r="AA1292">
        <v>7540</v>
      </c>
      <c r="AB1292">
        <v>0</v>
      </c>
      <c r="AC1292">
        <v>-176</v>
      </c>
      <c r="AD1292">
        <v>-2.3342175E-2</v>
      </c>
      <c r="AE1292">
        <v>1</v>
      </c>
      <c r="AF1292">
        <v>-176</v>
      </c>
      <c r="AG1292">
        <v>0</v>
      </c>
      <c r="AH1292">
        <f t="shared" si="20"/>
        <v>-2.3342175066312996E-2</v>
      </c>
    </row>
    <row r="1293" spans="1:34" x14ac:dyDescent="0.25">
      <c r="A1293" s="1">
        <v>45418</v>
      </c>
      <c r="B1293">
        <v>786</v>
      </c>
      <c r="C1293">
        <v>7.6923080000000001E-3</v>
      </c>
      <c r="D1293">
        <v>1035</v>
      </c>
      <c r="E1293">
        <v>-4.8076919999999997E-3</v>
      </c>
      <c r="F1293">
        <v>1.2500000000000001E-2</v>
      </c>
      <c r="G1293">
        <v>1.2500000000000001E-2</v>
      </c>
      <c r="H1293">
        <v>1.5774471000000002E-2</v>
      </c>
      <c r="I1293">
        <v>2.2989206000000002E-2</v>
      </c>
      <c r="J1293">
        <v>1</v>
      </c>
      <c r="K1293">
        <v>0</v>
      </c>
      <c r="L1293">
        <v>-1</v>
      </c>
      <c r="M1293">
        <v>5</v>
      </c>
      <c r="N1293">
        <v>0.82299618299999999</v>
      </c>
      <c r="O1293">
        <v>-3</v>
      </c>
      <c r="P1293">
        <v>5</v>
      </c>
      <c r="Q1293">
        <v>8</v>
      </c>
      <c r="R1293">
        <v>2358</v>
      </c>
      <c r="S1293">
        <v>-5175</v>
      </c>
      <c r="T1293">
        <v>42</v>
      </c>
      <c r="U1293">
        <v>-175</v>
      </c>
      <c r="V1293" t="s">
        <v>35</v>
      </c>
      <c r="W1293">
        <v>2358</v>
      </c>
      <c r="X1293">
        <v>-5175</v>
      </c>
      <c r="Y1293">
        <v>-133</v>
      </c>
      <c r="Z1293">
        <v>2.2989206000000002E-2</v>
      </c>
      <c r="AA1293">
        <v>7533</v>
      </c>
      <c r="AB1293">
        <v>0</v>
      </c>
      <c r="AC1293">
        <v>-133</v>
      </c>
      <c r="AD1293">
        <v>-1.7655647999999999E-2</v>
      </c>
      <c r="AE1293">
        <v>0</v>
      </c>
      <c r="AF1293">
        <v>0</v>
      </c>
      <c r="AG1293">
        <v>0</v>
      </c>
      <c r="AH1293">
        <f t="shared" si="20"/>
        <v>0</v>
      </c>
    </row>
    <row r="1294" spans="1:34" x14ac:dyDescent="0.25">
      <c r="A1294" s="1">
        <v>45419</v>
      </c>
      <c r="B1294">
        <v>800</v>
      </c>
      <c r="C1294">
        <v>1.7811705000000001E-2</v>
      </c>
      <c r="D1294">
        <v>1045</v>
      </c>
      <c r="E1294">
        <v>9.661836E-3</v>
      </c>
      <c r="F1294">
        <v>8.1498690000000006E-3</v>
      </c>
      <c r="G1294">
        <v>8.1498690000000006E-3</v>
      </c>
      <c r="H1294">
        <v>1.6072406000000001E-2</v>
      </c>
      <c r="I1294">
        <v>2.2977517999999999E-2</v>
      </c>
      <c r="J1294">
        <v>1</v>
      </c>
      <c r="K1294">
        <v>0</v>
      </c>
      <c r="L1294">
        <v>0</v>
      </c>
      <c r="M1294">
        <v>5</v>
      </c>
      <c r="N1294">
        <v>0.70856625299999998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W1294">
        <v>0</v>
      </c>
      <c r="X1294">
        <v>0</v>
      </c>
      <c r="Y1294">
        <v>0</v>
      </c>
      <c r="Z1294">
        <v>2.2977517999999999E-2</v>
      </c>
      <c r="AA1294">
        <v>0</v>
      </c>
      <c r="AB1294" t="s">
        <v>33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f t="shared" si="20"/>
        <v>0</v>
      </c>
    </row>
    <row r="1295" spans="1:34" x14ac:dyDescent="0.25">
      <c r="A1295" s="1">
        <v>45420</v>
      </c>
      <c r="B1295">
        <v>802</v>
      </c>
      <c r="C1295">
        <v>2.5000000000000001E-3</v>
      </c>
      <c r="D1295">
        <v>1095</v>
      </c>
      <c r="E1295">
        <v>4.7846890000000003E-2</v>
      </c>
      <c r="F1295">
        <v>-4.5346890000000001E-2</v>
      </c>
      <c r="G1295">
        <v>4.5346890000000001E-2</v>
      </c>
      <c r="H1295">
        <v>1.5497196E-2</v>
      </c>
      <c r="I1295">
        <v>2.2583662000000001E-2</v>
      </c>
      <c r="J1295">
        <v>0</v>
      </c>
      <c r="K1295">
        <v>1</v>
      </c>
      <c r="L1295">
        <v>1</v>
      </c>
      <c r="M1295">
        <v>5</v>
      </c>
      <c r="N1295">
        <v>26.130845140000002</v>
      </c>
      <c r="O1295">
        <v>131</v>
      </c>
      <c r="P1295">
        <v>-5</v>
      </c>
      <c r="Q1295">
        <v>136</v>
      </c>
      <c r="R1295">
        <v>-105062</v>
      </c>
      <c r="S1295">
        <v>5475</v>
      </c>
      <c r="T1295">
        <v>0</v>
      </c>
      <c r="U1295">
        <v>0</v>
      </c>
      <c r="V1295" t="s">
        <v>34</v>
      </c>
      <c r="W1295">
        <v>-105062</v>
      </c>
      <c r="X1295">
        <v>5475</v>
      </c>
      <c r="Y1295">
        <v>0</v>
      </c>
      <c r="Z1295">
        <v>2.2583662000000001E-2</v>
      </c>
      <c r="AA1295">
        <v>110537</v>
      </c>
      <c r="AB1295">
        <v>0.02</v>
      </c>
      <c r="AC1295">
        <v>0</v>
      </c>
      <c r="AD1295">
        <v>0</v>
      </c>
      <c r="AE1295">
        <v>0</v>
      </c>
      <c r="AF1295">
        <v>0</v>
      </c>
      <c r="AG1295">
        <v>110537</v>
      </c>
      <c r="AH1295">
        <f t="shared" si="20"/>
        <v>0</v>
      </c>
    </row>
    <row r="1296" spans="1:34" x14ac:dyDescent="0.25">
      <c r="A1296" s="1">
        <v>45421</v>
      </c>
      <c r="B1296">
        <v>796</v>
      </c>
      <c r="C1296">
        <v>-7.4812969999999996E-3</v>
      </c>
      <c r="D1296">
        <v>1095</v>
      </c>
      <c r="E1296">
        <v>0</v>
      </c>
      <c r="F1296">
        <v>-7.4812969999999996E-3</v>
      </c>
      <c r="G1296">
        <v>7.4812969999999996E-3</v>
      </c>
      <c r="H1296">
        <v>9.4240639999999994E-3</v>
      </c>
      <c r="I1296">
        <v>2.3911782999999999E-2</v>
      </c>
      <c r="J1296">
        <v>0</v>
      </c>
      <c r="K1296">
        <v>1</v>
      </c>
      <c r="L1296">
        <v>0</v>
      </c>
      <c r="M1296">
        <v>5</v>
      </c>
      <c r="N1296">
        <v>0</v>
      </c>
      <c r="O1296">
        <v>-131</v>
      </c>
      <c r="P1296">
        <v>5</v>
      </c>
      <c r="Q1296">
        <v>136</v>
      </c>
      <c r="R1296">
        <v>104276</v>
      </c>
      <c r="S1296">
        <v>-5475</v>
      </c>
      <c r="T1296">
        <v>-786</v>
      </c>
      <c r="U1296">
        <v>0</v>
      </c>
      <c r="V1296" t="s">
        <v>37</v>
      </c>
      <c r="W1296">
        <v>0</v>
      </c>
      <c r="X1296">
        <v>0</v>
      </c>
      <c r="Y1296">
        <v>0</v>
      </c>
      <c r="Z1296">
        <v>2.3911782999999999E-2</v>
      </c>
      <c r="AA1296">
        <v>109751</v>
      </c>
      <c r="AB1296">
        <v>0.02</v>
      </c>
      <c r="AC1296">
        <v>-786</v>
      </c>
      <c r="AD1296">
        <v>-7.1616659999999997E-3</v>
      </c>
      <c r="AE1296">
        <v>0</v>
      </c>
      <c r="AF1296">
        <v>0</v>
      </c>
      <c r="AG1296">
        <v>0</v>
      </c>
      <c r="AH1296">
        <f t="shared" si="20"/>
        <v>0</v>
      </c>
    </row>
    <row r="1297" spans="1:34" x14ac:dyDescent="0.25">
      <c r="A1297" s="1">
        <v>45422</v>
      </c>
      <c r="B1297">
        <v>802</v>
      </c>
      <c r="C1297">
        <v>7.5376879999999999E-3</v>
      </c>
      <c r="D1297">
        <v>1095</v>
      </c>
      <c r="E1297">
        <v>0</v>
      </c>
      <c r="F1297">
        <v>7.5376879999999999E-3</v>
      </c>
      <c r="G1297">
        <v>7.5376879999999999E-3</v>
      </c>
      <c r="H1297">
        <v>9.1922210000000004E-3</v>
      </c>
      <c r="I1297">
        <v>2.1507615000000001E-2</v>
      </c>
      <c r="J1297">
        <v>1</v>
      </c>
      <c r="K1297">
        <v>0</v>
      </c>
      <c r="L1297">
        <v>-1</v>
      </c>
      <c r="M1297">
        <v>5</v>
      </c>
      <c r="N1297">
        <v>0</v>
      </c>
      <c r="O1297">
        <v>-131</v>
      </c>
      <c r="P1297">
        <v>5</v>
      </c>
      <c r="Q1297">
        <v>136</v>
      </c>
      <c r="R1297">
        <v>105062</v>
      </c>
      <c r="S1297">
        <v>-5475</v>
      </c>
      <c r="T1297">
        <v>0</v>
      </c>
      <c r="U1297">
        <v>0</v>
      </c>
      <c r="V1297" t="s">
        <v>35</v>
      </c>
      <c r="W1297">
        <v>105062</v>
      </c>
      <c r="X1297">
        <v>-5475</v>
      </c>
      <c r="Y1297">
        <v>0</v>
      </c>
      <c r="Z1297">
        <v>2.1507615000000001E-2</v>
      </c>
      <c r="AA1297">
        <v>110537</v>
      </c>
      <c r="AB1297">
        <v>0.02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f t="shared" si="20"/>
        <v>0</v>
      </c>
    </row>
    <row r="1298" spans="1:34" x14ac:dyDescent="0.25">
      <c r="A1298" s="1">
        <v>45425</v>
      </c>
      <c r="B1298">
        <v>819</v>
      </c>
      <c r="C1298">
        <v>2.1197007E-2</v>
      </c>
      <c r="D1298">
        <v>1115</v>
      </c>
      <c r="E1298">
        <v>1.8264840000000001E-2</v>
      </c>
      <c r="F1298">
        <v>2.9321669999999998E-3</v>
      </c>
      <c r="G1298">
        <v>2.9321669999999998E-3</v>
      </c>
      <c r="H1298">
        <v>1.1619756E-2</v>
      </c>
      <c r="I1298">
        <v>1.9798697000000001E-2</v>
      </c>
      <c r="J1298">
        <v>1</v>
      </c>
      <c r="K1298">
        <v>0</v>
      </c>
      <c r="L1298">
        <v>0</v>
      </c>
      <c r="M1298">
        <v>5</v>
      </c>
      <c r="N1298">
        <v>1.1730925830000001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W1298">
        <v>0</v>
      </c>
      <c r="X1298">
        <v>0</v>
      </c>
      <c r="Y1298">
        <v>0</v>
      </c>
      <c r="Z1298">
        <v>1.9798697000000001E-2</v>
      </c>
      <c r="AA1298">
        <v>0</v>
      </c>
      <c r="AB1298" t="s">
        <v>33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f t="shared" si="20"/>
        <v>0</v>
      </c>
    </row>
    <row r="1299" spans="1:34" x14ac:dyDescent="0.25">
      <c r="A1299" s="1">
        <v>45426</v>
      </c>
      <c r="B1299">
        <v>825</v>
      </c>
      <c r="C1299">
        <v>7.3260069999999998E-3</v>
      </c>
      <c r="D1299">
        <v>1155</v>
      </c>
      <c r="E1299">
        <v>3.5874439000000001E-2</v>
      </c>
      <c r="F1299">
        <v>-2.8548431999999999E-2</v>
      </c>
      <c r="G1299">
        <v>2.8548431999999999E-2</v>
      </c>
      <c r="H1299">
        <v>1.0354156E-2</v>
      </c>
      <c r="I1299">
        <v>2.1387315E-2</v>
      </c>
      <c r="J1299">
        <v>0</v>
      </c>
      <c r="K1299">
        <v>1</v>
      </c>
      <c r="L1299">
        <v>1</v>
      </c>
      <c r="M1299">
        <v>5</v>
      </c>
      <c r="N1299">
        <v>6.8556053810000002</v>
      </c>
      <c r="O1299">
        <v>35</v>
      </c>
      <c r="P1299">
        <v>-5</v>
      </c>
      <c r="Q1299">
        <v>40</v>
      </c>
      <c r="R1299">
        <v>-28875</v>
      </c>
      <c r="S1299">
        <v>5775</v>
      </c>
      <c r="T1299">
        <v>0</v>
      </c>
      <c r="U1299">
        <v>0</v>
      </c>
      <c r="V1299" t="s">
        <v>34</v>
      </c>
      <c r="W1299">
        <v>-28875</v>
      </c>
      <c r="X1299">
        <v>5775</v>
      </c>
      <c r="Y1299">
        <v>0</v>
      </c>
      <c r="Z1299">
        <v>2.1387315E-2</v>
      </c>
      <c r="AA1299">
        <v>34650</v>
      </c>
      <c r="AB1299">
        <v>0.01</v>
      </c>
      <c r="AC1299">
        <v>0</v>
      </c>
      <c r="AD1299">
        <v>0</v>
      </c>
      <c r="AE1299">
        <v>0</v>
      </c>
      <c r="AF1299">
        <v>0</v>
      </c>
      <c r="AG1299">
        <v>34650</v>
      </c>
      <c r="AH1299">
        <f t="shared" si="20"/>
        <v>0</v>
      </c>
    </row>
    <row r="1300" spans="1:34" x14ac:dyDescent="0.25">
      <c r="A1300" s="1">
        <v>45427</v>
      </c>
      <c r="B1300">
        <v>839</v>
      </c>
      <c r="C1300">
        <v>1.6969696999999999E-2</v>
      </c>
      <c r="D1300">
        <v>1155</v>
      </c>
      <c r="E1300">
        <v>0</v>
      </c>
      <c r="F1300">
        <v>1.6969696999999999E-2</v>
      </c>
      <c r="G1300">
        <v>1.6969696999999999E-2</v>
      </c>
      <c r="H1300">
        <v>1.1054371E-2</v>
      </c>
      <c r="I1300">
        <v>1.6080792E-2</v>
      </c>
      <c r="J1300">
        <v>1</v>
      </c>
      <c r="K1300">
        <v>0</v>
      </c>
      <c r="L1300">
        <v>-1</v>
      </c>
      <c r="M1300">
        <v>5</v>
      </c>
      <c r="N1300">
        <v>0</v>
      </c>
      <c r="O1300">
        <v>-35</v>
      </c>
      <c r="P1300">
        <v>5</v>
      </c>
      <c r="Q1300">
        <v>40</v>
      </c>
      <c r="R1300">
        <v>29365</v>
      </c>
      <c r="S1300">
        <v>-5775</v>
      </c>
      <c r="T1300">
        <v>490</v>
      </c>
      <c r="U1300">
        <v>0</v>
      </c>
      <c r="V1300" t="s">
        <v>35</v>
      </c>
      <c r="W1300">
        <v>29365</v>
      </c>
      <c r="X1300">
        <v>-5775</v>
      </c>
      <c r="Y1300">
        <v>490</v>
      </c>
      <c r="Z1300">
        <v>1.6080792E-2</v>
      </c>
      <c r="AA1300">
        <v>35140</v>
      </c>
      <c r="AB1300">
        <v>0.01</v>
      </c>
      <c r="AC1300">
        <v>490</v>
      </c>
      <c r="AD1300">
        <v>1.3944223E-2</v>
      </c>
      <c r="AE1300">
        <v>0</v>
      </c>
      <c r="AF1300">
        <v>490</v>
      </c>
      <c r="AG1300">
        <v>0</v>
      </c>
      <c r="AH1300">
        <f t="shared" si="20"/>
        <v>1.3944223107569721E-2</v>
      </c>
    </row>
    <row r="1301" spans="1:34" x14ac:dyDescent="0.25">
      <c r="A1301" s="1">
        <v>45428</v>
      </c>
      <c r="B1301">
        <v>841</v>
      </c>
      <c r="C1301">
        <v>2.3837900000000002E-3</v>
      </c>
      <c r="D1301">
        <v>1190</v>
      </c>
      <c r="E1301">
        <v>3.0303030000000002E-2</v>
      </c>
      <c r="F1301">
        <v>-2.7919240000000001E-2</v>
      </c>
      <c r="G1301">
        <v>2.7919240000000001E-2</v>
      </c>
      <c r="H1301">
        <v>7.7347730000000003E-3</v>
      </c>
      <c r="I1301">
        <v>1.6678973999999999E-2</v>
      </c>
      <c r="J1301">
        <v>0</v>
      </c>
      <c r="K1301">
        <v>1</v>
      </c>
      <c r="L1301">
        <v>1</v>
      </c>
      <c r="M1301">
        <v>5</v>
      </c>
      <c r="N1301">
        <v>17.987424780000001</v>
      </c>
      <c r="O1301">
        <v>90</v>
      </c>
      <c r="P1301">
        <v>-5</v>
      </c>
      <c r="Q1301">
        <v>95</v>
      </c>
      <c r="R1301">
        <v>-75690</v>
      </c>
      <c r="S1301">
        <v>5950</v>
      </c>
      <c r="T1301">
        <v>0</v>
      </c>
      <c r="U1301">
        <v>0</v>
      </c>
      <c r="V1301" t="s">
        <v>34</v>
      </c>
      <c r="W1301">
        <v>-75690</v>
      </c>
      <c r="X1301">
        <v>5950</v>
      </c>
      <c r="Y1301">
        <v>0</v>
      </c>
      <c r="Z1301">
        <v>1.6678973999999999E-2</v>
      </c>
      <c r="AA1301">
        <v>81640</v>
      </c>
      <c r="AB1301">
        <v>0.02</v>
      </c>
      <c r="AC1301">
        <v>0</v>
      </c>
      <c r="AD1301">
        <v>0</v>
      </c>
      <c r="AE1301">
        <v>0</v>
      </c>
      <c r="AF1301">
        <v>0</v>
      </c>
      <c r="AG1301">
        <v>81640</v>
      </c>
      <c r="AH1301">
        <f t="shared" si="20"/>
        <v>0</v>
      </c>
    </row>
    <row r="1302" spans="1:34" x14ac:dyDescent="0.25">
      <c r="A1302" s="1">
        <v>45429</v>
      </c>
      <c r="B1302">
        <v>835</v>
      </c>
      <c r="C1302">
        <v>-7.1343639999999998E-3</v>
      </c>
      <c r="D1302">
        <v>1165</v>
      </c>
      <c r="E1302">
        <v>-2.1008402999999998E-2</v>
      </c>
      <c r="F1302">
        <v>1.3874040000000001E-2</v>
      </c>
      <c r="G1302">
        <v>1.3874040000000001E-2</v>
      </c>
      <c r="H1302">
        <v>1.1352878E-2</v>
      </c>
      <c r="I1302">
        <v>2.3320776000000001E-2</v>
      </c>
      <c r="J1302">
        <v>1</v>
      </c>
      <c r="K1302">
        <v>0</v>
      </c>
      <c r="L1302">
        <v>-1</v>
      </c>
      <c r="M1302">
        <v>5</v>
      </c>
      <c r="N1302">
        <v>4.1084427779999997</v>
      </c>
      <c r="O1302">
        <v>-90</v>
      </c>
      <c r="P1302">
        <v>5</v>
      </c>
      <c r="Q1302">
        <v>95</v>
      </c>
      <c r="R1302">
        <v>75150</v>
      </c>
      <c r="S1302">
        <v>-5825</v>
      </c>
      <c r="T1302">
        <v>-540</v>
      </c>
      <c r="U1302">
        <v>125</v>
      </c>
      <c r="V1302" t="s">
        <v>35</v>
      </c>
      <c r="W1302">
        <v>75150</v>
      </c>
      <c r="X1302">
        <v>-5825</v>
      </c>
      <c r="Y1302">
        <v>-415</v>
      </c>
      <c r="Z1302">
        <v>2.3320776000000001E-2</v>
      </c>
      <c r="AA1302">
        <v>80975</v>
      </c>
      <c r="AB1302">
        <v>0.02</v>
      </c>
      <c r="AC1302">
        <v>-415</v>
      </c>
      <c r="AD1302">
        <v>-5.1250389999999996E-3</v>
      </c>
      <c r="AE1302">
        <v>0</v>
      </c>
      <c r="AF1302">
        <v>-415</v>
      </c>
      <c r="AG1302">
        <v>0</v>
      </c>
      <c r="AH1302">
        <f t="shared" si="20"/>
        <v>-5.1250385921580736E-3</v>
      </c>
    </row>
    <row r="1303" spans="1:34" x14ac:dyDescent="0.25">
      <c r="A1303" s="1">
        <v>45432</v>
      </c>
      <c r="B1303">
        <v>835</v>
      </c>
      <c r="C1303">
        <v>0</v>
      </c>
      <c r="D1303">
        <v>1190</v>
      </c>
      <c r="E1303">
        <v>2.1459227000000001E-2</v>
      </c>
      <c r="F1303">
        <v>-2.1459227000000001E-2</v>
      </c>
      <c r="G1303">
        <v>2.1459227000000001E-2</v>
      </c>
      <c r="H1303">
        <v>8.9696740000000004E-3</v>
      </c>
      <c r="I1303">
        <v>2.3554375999999998E-2</v>
      </c>
      <c r="J1303">
        <v>0</v>
      </c>
      <c r="K1303">
        <v>0</v>
      </c>
      <c r="L1303">
        <v>0</v>
      </c>
      <c r="M1303">
        <v>5</v>
      </c>
      <c r="N1303" t="s">
        <v>36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W1303">
        <v>0</v>
      </c>
      <c r="X1303">
        <v>0</v>
      </c>
      <c r="Y1303">
        <v>0</v>
      </c>
      <c r="Z1303">
        <v>2.3554375999999998E-2</v>
      </c>
      <c r="AA1303">
        <v>0</v>
      </c>
      <c r="AB1303" t="s">
        <v>33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f t="shared" si="20"/>
        <v>0</v>
      </c>
    </row>
    <row r="1304" spans="1:34" x14ac:dyDescent="0.25">
      <c r="A1304" s="1">
        <v>45433</v>
      </c>
      <c r="B1304">
        <v>841</v>
      </c>
      <c r="C1304">
        <v>7.1856289999999998E-3</v>
      </c>
      <c r="D1304">
        <v>1175</v>
      </c>
      <c r="E1304">
        <v>-1.2605042E-2</v>
      </c>
      <c r="F1304">
        <v>1.9790670999999999E-2</v>
      </c>
      <c r="G1304">
        <v>1.9790670999999999E-2</v>
      </c>
      <c r="H1304">
        <v>8.9565140000000005E-3</v>
      </c>
      <c r="I1304">
        <v>2.1869706999999999E-2</v>
      </c>
      <c r="J1304">
        <v>1</v>
      </c>
      <c r="K1304">
        <v>0</v>
      </c>
      <c r="L1304">
        <v>0</v>
      </c>
      <c r="M1304">
        <v>5</v>
      </c>
      <c r="N1304">
        <v>2.4508763079999998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W1304">
        <v>0</v>
      </c>
      <c r="X1304">
        <v>0</v>
      </c>
      <c r="Y1304">
        <v>0</v>
      </c>
      <c r="Z1304">
        <v>2.1869706999999999E-2</v>
      </c>
      <c r="AA1304">
        <v>0</v>
      </c>
      <c r="AB1304" t="s">
        <v>33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f t="shared" si="20"/>
        <v>0</v>
      </c>
    </row>
    <row r="1305" spans="1:34" x14ac:dyDescent="0.25">
      <c r="A1305" s="1">
        <v>45434</v>
      </c>
      <c r="B1305">
        <v>864</v>
      </c>
      <c r="C1305">
        <v>2.7348395000000001E-2</v>
      </c>
      <c r="D1305">
        <v>1185</v>
      </c>
      <c r="E1305">
        <v>8.5106379999999992E-3</v>
      </c>
      <c r="F1305">
        <v>1.8837756000000001E-2</v>
      </c>
      <c r="G1305">
        <v>1.8837756000000001E-2</v>
      </c>
      <c r="H1305">
        <v>1.3026308E-2</v>
      </c>
      <c r="I1305">
        <v>2.1847756999999999E-2</v>
      </c>
      <c r="J1305">
        <v>1</v>
      </c>
      <c r="K1305">
        <v>0</v>
      </c>
      <c r="L1305">
        <v>0</v>
      </c>
      <c r="M1305">
        <v>5</v>
      </c>
      <c r="N1305">
        <v>0.426810309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W1305">
        <v>0</v>
      </c>
      <c r="X1305">
        <v>0</v>
      </c>
      <c r="Y1305">
        <v>0</v>
      </c>
      <c r="Z1305">
        <v>2.1847756999999999E-2</v>
      </c>
      <c r="AA1305">
        <v>0</v>
      </c>
      <c r="AB1305" t="s">
        <v>33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f t="shared" si="20"/>
        <v>0</v>
      </c>
    </row>
    <row r="1306" spans="1:34" x14ac:dyDescent="0.25">
      <c r="A1306" s="1">
        <v>45435</v>
      </c>
      <c r="B1306">
        <v>875</v>
      </c>
      <c r="C1306">
        <v>1.2731480999999999E-2</v>
      </c>
      <c r="D1306">
        <v>1205</v>
      </c>
      <c r="E1306">
        <v>1.6877637000000001E-2</v>
      </c>
      <c r="F1306">
        <v>-4.1461559999999998E-3</v>
      </c>
      <c r="G1306">
        <v>4.1461559999999998E-3</v>
      </c>
      <c r="H1306">
        <v>1.3138265E-2</v>
      </c>
      <c r="I1306">
        <v>1.8594328E-2</v>
      </c>
      <c r="J1306">
        <v>0</v>
      </c>
      <c r="K1306">
        <v>0</v>
      </c>
      <c r="L1306">
        <v>0</v>
      </c>
      <c r="M1306">
        <v>5</v>
      </c>
      <c r="N1306">
        <v>1.8256255139999999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W1306">
        <v>0</v>
      </c>
      <c r="X1306">
        <v>0</v>
      </c>
      <c r="Y1306">
        <v>0</v>
      </c>
      <c r="Z1306">
        <v>1.8594328E-2</v>
      </c>
      <c r="AA1306">
        <v>0</v>
      </c>
      <c r="AB1306" t="s">
        <v>33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f t="shared" si="20"/>
        <v>0</v>
      </c>
    </row>
    <row r="1307" spans="1:34" x14ac:dyDescent="0.25">
      <c r="A1307" s="1">
        <v>45436</v>
      </c>
      <c r="B1307">
        <v>867</v>
      </c>
      <c r="C1307">
        <v>-9.1428570000000008E-3</v>
      </c>
      <c r="D1307">
        <v>1195</v>
      </c>
      <c r="E1307">
        <v>-8.2987549999999997E-3</v>
      </c>
      <c r="F1307">
        <v>-8.44102E-4</v>
      </c>
      <c r="G1307">
        <v>8.44102E-4</v>
      </c>
      <c r="H1307">
        <v>1.3734839E-2</v>
      </c>
      <c r="I1307">
        <v>1.5090769E-2</v>
      </c>
      <c r="J1307">
        <v>0</v>
      </c>
      <c r="K1307">
        <v>0</v>
      </c>
      <c r="L1307">
        <v>0</v>
      </c>
      <c r="M1307">
        <v>5</v>
      </c>
      <c r="N1307">
        <v>1.2510648630000001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W1307">
        <v>0</v>
      </c>
      <c r="X1307">
        <v>0</v>
      </c>
      <c r="Y1307">
        <v>0</v>
      </c>
      <c r="Z1307">
        <v>1.5090769E-2</v>
      </c>
      <c r="AA1307">
        <v>0</v>
      </c>
      <c r="AB1307" t="s">
        <v>33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f t="shared" si="20"/>
        <v>0</v>
      </c>
    </row>
    <row r="1308" spans="1:34" x14ac:dyDescent="0.25">
      <c r="A1308" s="1">
        <v>45439</v>
      </c>
      <c r="B1308">
        <v>869</v>
      </c>
      <c r="C1308">
        <v>2.3068049999999999E-3</v>
      </c>
      <c r="D1308">
        <v>1285</v>
      </c>
      <c r="E1308">
        <v>7.5313807999999996E-2</v>
      </c>
      <c r="F1308">
        <v>-7.3007002000000001E-2</v>
      </c>
      <c r="G1308">
        <v>7.3007002000000001E-2</v>
      </c>
      <c r="H1308">
        <v>1.3450498E-2</v>
      </c>
      <c r="I1308">
        <v>3.5297515000000002E-2</v>
      </c>
      <c r="J1308">
        <v>0</v>
      </c>
      <c r="K1308">
        <v>1</v>
      </c>
      <c r="L1308">
        <v>1</v>
      </c>
      <c r="M1308">
        <v>5</v>
      </c>
      <c r="N1308">
        <v>48.277753969999999</v>
      </c>
      <c r="O1308">
        <v>242</v>
      </c>
      <c r="P1308">
        <v>-5</v>
      </c>
      <c r="Q1308">
        <v>247</v>
      </c>
      <c r="R1308">
        <v>-210298</v>
      </c>
      <c r="S1308">
        <v>6425</v>
      </c>
      <c r="T1308">
        <v>0</v>
      </c>
      <c r="U1308">
        <v>0</v>
      </c>
      <c r="V1308" t="s">
        <v>34</v>
      </c>
      <c r="W1308">
        <v>-210298</v>
      </c>
      <c r="X1308">
        <v>6425</v>
      </c>
      <c r="Y1308">
        <v>0</v>
      </c>
      <c r="Z1308">
        <v>3.5297515000000002E-2</v>
      </c>
      <c r="AA1308">
        <v>216723</v>
      </c>
      <c r="AB1308">
        <v>0.05</v>
      </c>
      <c r="AC1308">
        <v>0</v>
      </c>
      <c r="AD1308">
        <v>0</v>
      </c>
      <c r="AE1308">
        <v>0</v>
      </c>
      <c r="AF1308">
        <v>0</v>
      </c>
      <c r="AG1308">
        <v>216723</v>
      </c>
      <c r="AH1308">
        <f t="shared" si="20"/>
        <v>0</v>
      </c>
    </row>
    <row r="1309" spans="1:34" x14ac:dyDescent="0.25">
      <c r="A1309" s="1">
        <v>45440</v>
      </c>
      <c r="B1309">
        <v>865</v>
      </c>
      <c r="C1309">
        <v>-4.6029920000000002E-3</v>
      </c>
      <c r="D1309">
        <v>1310</v>
      </c>
      <c r="E1309">
        <v>1.9455252999999999E-2</v>
      </c>
      <c r="F1309">
        <v>-2.4058244999999999E-2</v>
      </c>
      <c r="G1309">
        <v>2.4058244999999999E-2</v>
      </c>
      <c r="H1309">
        <v>1.4629308000000001E-2</v>
      </c>
      <c r="I1309">
        <v>3.1521275000000001E-2</v>
      </c>
      <c r="J1309">
        <v>0</v>
      </c>
      <c r="K1309">
        <v>1</v>
      </c>
      <c r="L1309">
        <v>0</v>
      </c>
      <c r="M1309">
        <v>5</v>
      </c>
      <c r="N1309">
        <v>6.4010593550000001</v>
      </c>
      <c r="O1309">
        <v>-242</v>
      </c>
      <c r="P1309">
        <v>5</v>
      </c>
      <c r="Q1309">
        <v>247</v>
      </c>
      <c r="R1309">
        <v>209330</v>
      </c>
      <c r="S1309">
        <v>-6550</v>
      </c>
      <c r="T1309">
        <v>-968</v>
      </c>
      <c r="U1309">
        <v>-125</v>
      </c>
      <c r="V1309" t="s">
        <v>37</v>
      </c>
      <c r="W1309">
        <v>0</v>
      </c>
      <c r="X1309">
        <v>0</v>
      </c>
      <c r="Y1309">
        <v>0</v>
      </c>
      <c r="Z1309">
        <v>3.1521275000000001E-2</v>
      </c>
      <c r="AA1309">
        <v>215880</v>
      </c>
      <c r="AB1309">
        <v>0.05</v>
      </c>
      <c r="AC1309">
        <v>-1093</v>
      </c>
      <c r="AD1309">
        <v>-5.062998E-3</v>
      </c>
      <c r="AE1309">
        <v>0</v>
      </c>
      <c r="AF1309">
        <v>0</v>
      </c>
      <c r="AG1309">
        <v>0</v>
      </c>
      <c r="AH1309">
        <f t="shared" si="20"/>
        <v>0</v>
      </c>
    </row>
    <row r="1310" spans="1:34" x14ac:dyDescent="0.25">
      <c r="A1310" s="1">
        <v>45441</v>
      </c>
      <c r="B1310">
        <v>857</v>
      </c>
      <c r="C1310">
        <v>-9.2485550000000003E-3</v>
      </c>
      <c r="D1310">
        <v>1290</v>
      </c>
      <c r="E1310">
        <v>-1.5267176E-2</v>
      </c>
      <c r="F1310">
        <v>6.018621E-3</v>
      </c>
      <c r="G1310">
        <v>6.018621E-3</v>
      </c>
      <c r="H1310">
        <v>9.2879920000000001E-3</v>
      </c>
      <c r="I1310">
        <v>3.5657547999999997E-2</v>
      </c>
      <c r="J1310">
        <v>1</v>
      </c>
      <c r="K1310">
        <v>0</v>
      </c>
      <c r="L1310">
        <v>-1</v>
      </c>
      <c r="M1310">
        <v>5</v>
      </c>
      <c r="N1310">
        <v>2.48481299</v>
      </c>
      <c r="O1310">
        <v>-242</v>
      </c>
      <c r="P1310">
        <v>5</v>
      </c>
      <c r="Q1310">
        <v>247</v>
      </c>
      <c r="R1310">
        <v>207394</v>
      </c>
      <c r="S1310">
        <v>-6450</v>
      </c>
      <c r="T1310">
        <v>-2904</v>
      </c>
      <c r="U1310">
        <v>-25</v>
      </c>
      <c r="V1310" t="s">
        <v>35</v>
      </c>
      <c r="W1310">
        <v>207394</v>
      </c>
      <c r="X1310">
        <v>-6450</v>
      </c>
      <c r="Y1310">
        <v>-2929</v>
      </c>
      <c r="Z1310">
        <v>3.5657547999999997E-2</v>
      </c>
      <c r="AA1310">
        <v>213844</v>
      </c>
      <c r="AB1310">
        <v>0.05</v>
      </c>
      <c r="AC1310">
        <v>-2929</v>
      </c>
      <c r="AD1310">
        <v>-1.3696900999999999E-2</v>
      </c>
      <c r="AE1310">
        <v>0</v>
      </c>
      <c r="AF1310">
        <v>-2929</v>
      </c>
      <c r="AG1310">
        <v>0</v>
      </c>
      <c r="AH1310">
        <f t="shared" si="20"/>
        <v>-1.369690054432203E-2</v>
      </c>
    </row>
    <row r="1311" spans="1:34" x14ac:dyDescent="0.25">
      <c r="A1311" s="1">
        <v>45442</v>
      </c>
      <c r="B1311">
        <v>838</v>
      </c>
      <c r="C1311">
        <v>-2.2170361999999999E-2</v>
      </c>
      <c r="D1311">
        <v>1290</v>
      </c>
      <c r="E1311">
        <v>0</v>
      </c>
      <c r="F1311">
        <v>-2.2170361999999999E-2</v>
      </c>
      <c r="G1311">
        <v>2.2170361999999999E-2</v>
      </c>
      <c r="H1311">
        <v>8.9414830000000001E-3</v>
      </c>
      <c r="I1311">
        <v>3.6533050999999997E-2</v>
      </c>
      <c r="J1311">
        <v>0</v>
      </c>
      <c r="K1311">
        <v>0</v>
      </c>
      <c r="L1311">
        <v>0</v>
      </c>
      <c r="M1311">
        <v>5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W1311">
        <v>0</v>
      </c>
      <c r="X1311">
        <v>0</v>
      </c>
      <c r="Y1311">
        <v>0</v>
      </c>
      <c r="Z1311">
        <v>3.6533050999999997E-2</v>
      </c>
      <c r="AA1311">
        <v>0</v>
      </c>
      <c r="AB1311" t="s">
        <v>33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f t="shared" si="20"/>
        <v>0</v>
      </c>
    </row>
    <row r="1312" spans="1:34" x14ac:dyDescent="0.25">
      <c r="A1312" s="1">
        <v>45443</v>
      </c>
      <c r="B1312">
        <v>821</v>
      </c>
      <c r="C1312">
        <v>-2.0286396000000002E-2</v>
      </c>
      <c r="D1312">
        <v>1235</v>
      </c>
      <c r="E1312">
        <v>-4.2635658999999999E-2</v>
      </c>
      <c r="F1312">
        <v>2.2349263000000001E-2</v>
      </c>
      <c r="G1312">
        <v>2.2349263000000001E-2</v>
      </c>
      <c r="H1312">
        <v>1.0390801999999999E-2</v>
      </c>
      <c r="I1312">
        <v>4.4242905999999999E-2</v>
      </c>
      <c r="J1312">
        <v>1</v>
      </c>
      <c r="K1312">
        <v>0</v>
      </c>
      <c r="L1312">
        <v>0</v>
      </c>
      <c r="M1312">
        <v>5</v>
      </c>
      <c r="N1312">
        <v>3.1614904689999999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W1312">
        <v>0</v>
      </c>
      <c r="X1312">
        <v>0</v>
      </c>
      <c r="Y1312">
        <v>0</v>
      </c>
      <c r="Z1312">
        <v>4.4242905999999999E-2</v>
      </c>
      <c r="AA1312">
        <v>0</v>
      </c>
      <c r="AB1312" t="s">
        <v>33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f t="shared" si="20"/>
        <v>0</v>
      </c>
    </row>
    <row r="1313" spans="1:34" x14ac:dyDescent="0.25">
      <c r="A1313" s="1">
        <v>45446</v>
      </c>
      <c r="B1313">
        <v>846</v>
      </c>
      <c r="C1313">
        <v>3.0450669999999999E-2</v>
      </c>
      <c r="D1313">
        <v>1270</v>
      </c>
      <c r="E1313">
        <v>2.8340081E-2</v>
      </c>
      <c r="F1313">
        <v>2.110589E-3</v>
      </c>
      <c r="G1313">
        <v>2.110589E-3</v>
      </c>
      <c r="H1313">
        <v>2.1232674999999999E-2</v>
      </c>
      <c r="I1313">
        <v>2.8337787999999999E-2</v>
      </c>
      <c r="J1313">
        <v>1</v>
      </c>
      <c r="K1313">
        <v>0</v>
      </c>
      <c r="L1313">
        <v>0</v>
      </c>
      <c r="M1313">
        <v>5</v>
      </c>
      <c r="N1313">
        <v>1.397132493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W1313">
        <v>0</v>
      </c>
      <c r="X1313">
        <v>0</v>
      </c>
      <c r="Y1313">
        <v>0</v>
      </c>
      <c r="Z1313">
        <v>2.8337787999999999E-2</v>
      </c>
      <c r="AA1313">
        <v>0</v>
      </c>
      <c r="AB1313" t="s">
        <v>33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f t="shared" si="20"/>
        <v>0</v>
      </c>
    </row>
    <row r="1314" spans="1:34" x14ac:dyDescent="0.25">
      <c r="A1314" s="1">
        <v>45447</v>
      </c>
      <c r="B1314">
        <v>839</v>
      </c>
      <c r="C1314">
        <v>-8.2742319999999994E-3</v>
      </c>
      <c r="D1314">
        <v>1240</v>
      </c>
      <c r="E1314">
        <v>-2.3622047E-2</v>
      </c>
      <c r="F1314">
        <v>1.5347816E-2</v>
      </c>
      <c r="G1314">
        <v>1.5347816E-2</v>
      </c>
      <c r="H1314">
        <v>2.1271541000000001E-2</v>
      </c>
      <c r="I1314">
        <v>2.667547E-2</v>
      </c>
      <c r="J1314">
        <v>1</v>
      </c>
      <c r="K1314">
        <v>0</v>
      </c>
      <c r="L1314">
        <v>0</v>
      </c>
      <c r="M1314">
        <v>5</v>
      </c>
      <c r="N1314">
        <v>4.219389144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W1314">
        <v>0</v>
      </c>
      <c r="X1314">
        <v>0</v>
      </c>
      <c r="Y1314">
        <v>0</v>
      </c>
      <c r="Z1314">
        <v>2.667547E-2</v>
      </c>
      <c r="AA1314">
        <v>0</v>
      </c>
      <c r="AB1314" t="s">
        <v>33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f t="shared" si="20"/>
        <v>0</v>
      </c>
    </row>
    <row r="1315" spans="1:34" x14ac:dyDescent="0.25">
      <c r="A1315" s="1">
        <v>45448</v>
      </c>
      <c r="B1315">
        <v>854</v>
      </c>
      <c r="C1315">
        <v>1.7878426999999999E-2</v>
      </c>
      <c r="D1315">
        <v>1230</v>
      </c>
      <c r="E1315">
        <v>-8.0645160000000007E-3</v>
      </c>
      <c r="F1315">
        <v>2.5942943E-2</v>
      </c>
      <c r="G1315">
        <v>2.5942943E-2</v>
      </c>
      <c r="H1315">
        <v>2.354386E-2</v>
      </c>
      <c r="I1315">
        <v>2.6557134999999999E-2</v>
      </c>
      <c r="J1315">
        <v>1</v>
      </c>
      <c r="K1315">
        <v>0</v>
      </c>
      <c r="L1315">
        <v>0</v>
      </c>
      <c r="M1315">
        <v>5</v>
      </c>
      <c r="N1315">
        <v>0.64967515300000001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W1315">
        <v>0</v>
      </c>
      <c r="X1315">
        <v>0</v>
      </c>
      <c r="Y1315">
        <v>0</v>
      </c>
      <c r="Z1315">
        <v>2.6557134999999999E-2</v>
      </c>
      <c r="AA1315">
        <v>0</v>
      </c>
      <c r="AB1315" t="s">
        <v>33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f t="shared" si="20"/>
        <v>0</v>
      </c>
    </row>
    <row r="1316" spans="1:34" x14ac:dyDescent="0.25">
      <c r="A1316" s="1">
        <v>45449</v>
      </c>
      <c r="B1316">
        <v>894</v>
      </c>
      <c r="C1316">
        <v>4.6838406999999999E-2</v>
      </c>
      <c r="D1316">
        <v>1290</v>
      </c>
      <c r="E1316">
        <v>4.8780487999999997E-2</v>
      </c>
      <c r="F1316">
        <v>-1.9420800000000001E-3</v>
      </c>
      <c r="G1316">
        <v>1.9420800000000001E-3</v>
      </c>
      <c r="H1316">
        <v>2.7538262000000001E-2</v>
      </c>
      <c r="I1316">
        <v>3.7489888999999998E-2</v>
      </c>
      <c r="J1316">
        <v>0</v>
      </c>
      <c r="K1316">
        <v>0</v>
      </c>
      <c r="L1316">
        <v>0</v>
      </c>
      <c r="M1316">
        <v>5</v>
      </c>
      <c r="N1316">
        <v>1.50278278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W1316">
        <v>0</v>
      </c>
      <c r="X1316">
        <v>0</v>
      </c>
      <c r="Y1316">
        <v>0</v>
      </c>
      <c r="Z1316">
        <v>3.7489888999999998E-2</v>
      </c>
      <c r="AA1316">
        <v>0</v>
      </c>
      <c r="AB1316" t="s">
        <v>33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f t="shared" si="20"/>
        <v>0</v>
      </c>
    </row>
    <row r="1317" spans="1:34" x14ac:dyDescent="0.25">
      <c r="A1317" s="1">
        <v>45450</v>
      </c>
      <c r="B1317">
        <v>879</v>
      </c>
      <c r="C1317">
        <v>-1.6778523E-2</v>
      </c>
      <c r="D1317">
        <v>1275</v>
      </c>
      <c r="E1317">
        <v>-1.1627907E-2</v>
      </c>
      <c r="F1317">
        <v>-5.1506169999999997E-3</v>
      </c>
      <c r="G1317">
        <v>5.1506169999999997E-3</v>
      </c>
      <c r="H1317">
        <v>2.6492847999999999E-2</v>
      </c>
      <c r="I1317">
        <v>3.0464616999999999E-2</v>
      </c>
      <c r="J1317">
        <v>0</v>
      </c>
      <c r="K1317">
        <v>0</v>
      </c>
      <c r="L1317">
        <v>0</v>
      </c>
      <c r="M1317">
        <v>5</v>
      </c>
      <c r="N1317">
        <v>1.0052385109999999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W1317">
        <v>0</v>
      </c>
      <c r="X1317">
        <v>0</v>
      </c>
      <c r="Y1317">
        <v>0</v>
      </c>
      <c r="Z1317">
        <v>3.0464616999999999E-2</v>
      </c>
      <c r="AA1317">
        <v>0</v>
      </c>
      <c r="AB1317" t="s">
        <v>33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f t="shared" si="20"/>
        <v>0</v>
      </c>
    </row>
    <row r="1318" spans="1:34" x14ac:dyDescent="0.25">
      <c r="A1318" s="1">
        <v>45454</v>
      </c>
      <c r="B1318">
        <v>883</v>
      </c>
      <c r="C1318">
        <v>4.5506260000000003E-3</v>
      </c>
      <c r="D1318">
        <v>1270</v>
      </c>
      <c r="E1318">
        <v>-3.9215689999999997E-3</v>
      </c>
      <c r="F1318">
        <v>8.4721940000000006E-3</v>
      </c>
      <c r="G1318">
        <v>8.4721940000000006E-3</v>
      </c>
      <c r="H1318">
        <v>2.4965859E-2</v>
      </c>
      <c r="I1318">
        <v>2.8074380999999999E-2</v>
      </c>
      <c r="J1318">
        <v>1</v>
      </c>
      <c r="K1318">
        <v>0</v>
      </c>
      <c r="L1318">
        <v>0</v>
      </c>
      <c r="M1318">
        <v>5</v>
      </c>
      <c r="N1318">
        <v>1.2394577309999999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W1318">
        <v>0</v>
      </c>
      <c r="X1318">
        <v>0</v>
      </c>
      <c r="Y1318">
        <v>0</v>
      </c>
      <c r="Z1318">
        <v>2.8074380999999999E-2</v>
      </c>
      <c r="AA1318">
        <v>0</v>
      </c>
      <c r="AB1318" t="s">
        <v>33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f t="shared" si="20"/>
        <v>0</v>
      </c>
    </row>
    <row r="1319" spans="1:34" x14ac:dyDescent="0.25">
      <c r="A1319" s="1">
        <v>45455</v>
      </c>
      <c r="B1319">
        <v>909</v>
      </c>
      <c r="C1319">
        <v>2.9445074000000002E-2</v>
      </c>
      <c r="D1319">
        <v>1300</v>
      </c>
      <c r="E1319">
        <v>2.3622047E-2</v>
      </c>
      <c r="F1319">
        <v>5.8230260000000002E-3</v>
      </c>
      <c r="G1319">
        <v>5.8230260000000002E-3</v>
      </c>
      <c r="H1319">
        <v>2.4187173999999999E-2</v>
      </c>
      <c r="I1319">
        <v>2.5870331E-2</v>
      </c>
      <c r="J1319">
        <v>1</v>
      </c>
      <c r="K1319">
        <v>0</v>
      </c>
      <c r="L1319">
        <v>0</v>
      </c>
      <c r="M1319">
        <v>5</v>
      </c>
      <c r="N1319">
        <v>1.147319456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W1319">
        <v>0</v>
      </c>
      <c r="X1319">
        <v>0</v>
      </c>
      <c r="Y1319">
        <v>0</v>
      </c>
      <c r="Z1319">
        <v>2.5870331E-2</v>
      </c>
      <c r="AA1319">
        <v>0</v>
      </c>
      <c r="AB1319" t="s">
        <v>33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f t="shared" si="20"/>
        <v>0</v>
      </c>
    </row>
    <row r="1320" spans="1:34" x14ac:dyDescent="0.25">
      <c r="A1320" s="1">
        <v>45456</v>
      </c>
      <c r="B1320">
        <v>919</v>
      </c>
      <c r="C1320">
        <v>1.10011E-2</v>
      </c>
      <c r="D1320">
        <v>1385</v>
      </c>
      <c r="E1320">
        <v>6.5384614999999993E-2</v>
      </c>
      <c r="F1320">
        <v>-5.4383515E-2</v>
      </c>
      <c r="G1320">
        <v>5.4383515E-2</v>
      </c>
      <c r="H1320">
        <v>2.4276526E-2</v>
      </c>
      <c r="I1320">
        <v>3.3071370000000003E-2</v>
      </c>
      <c r="J1320">
        <v>0</v>
      </c>
      <c r="K1320">
        <v>1</v>
      </c>
      <c r="L1320">
        <v>1</v>
      </c>
      <c r="M1320">
        <v>5</v>
      </c>
      <c r="N1320">
        <v>8.9572298480000008</v>
      </c>
      <c r="O1320">
        <v>45</v>
      </c>
      <c r="P1320">
        <v>-5</v>
      </c>
      <c r="Q1320">
        <v>50</v>
      </c>
      <c r="R1320">
        <v>-41355</v>
      </c>
      <c r="S1320">
        <v>6925</v>
      </c>
      <c r="T1320">
        <v>0</v>
      </c>
      <c r="U1320">
        <v>0</v>
      </c>
      <c r="V1320" t="s">
        <v>34</v>
      </c>
      <c r="W1320">
        <v>-41355</v>
      </c>
      <c r="X1320">
        <v>6925</v>
      </c>
      <c r="Y1320">
        <v>0</v>
      </c>
      <c r="Z1320">
        <v>3.3071370000000003E-2</v>
      </c>
      <c r="AA1320">
        <v>48280</v>
      </c>
      <c r="AB1320">
        <v>0.01</v>
      </c>
      <c r="AC1320">
        <v>0</v>
      </c>
      <c r="AD1320">
        <v>0</v>
      </c>
      <c r="AE1320">
        <v>0</v>
      </c>
      <c r="AF1320">
        <v>0</v>
      </c>
      <c r="AG1320">
        <v>48280</v>
      </c>
      <c r="AH1320">
        <f t="shared" si="20"/>
        <v>0</v>
      </c>
    </row>
    <row r="1321" spans="1:34" x14ac:dyDescent="0.25">
      <c r="A1321" s="1">
        <v>45457</v>
      </c>
      <c r="B1321">
        <v>922</v>
      </c>
      <c r="C1321">
        <v>3.2644179999999998E-3</v>
      </c>
      <c r="D1321">
        <v>1395</v>
      </c>
      <c r="E1321">
        <v>7.2202170000000001E-3</v>
      </c>
      <c r="F1321">
        <v>-3.9557990000000003E-3</v>
      </c>
      <c r="G1321">
        <v>3.9557990000000003E-3</v>
      </c>
      <c r="H1321">
        <v>1.6603373000000001E-2</v>
      </c>
      <c r="I1321">
        <v>3.0553635999999999E-2</v>
      </c>
      <c r="J1321">
        <v>0</v>
      </c>
      <c r="K1321">
        <v>1</v>
      </c>
      <c r="L1321">
        <v>0</v>
      </c>
      <c r="M1321">
        <v>5</v>
      </c>
      <c r="N1321">
        <v>3.3464764250000001</v>
      </c>
      <c r="O1321">
        <v>-45</v>
      </c>
      <c r="P1321">
        <v>5</v>
      </c>
      <c r="Q1321">
        <v>50</v>
      </c>
      <c r="R1321">
        <v>41490</v>
      </c>
      <c r="S1321">
        <v>-6975</v>
      </c>
      <c r="T1321">
        <v>135</v>
      </c>
      <c r="U1321">
        <v>-50</v>
      </c>
      <c r="V1321" t="s">
        <v>37</v>
      </c>
      <c r="W1321">
        <v>0</v>
      </c>
      <c r="X1321">
        <v>0</v>
      </c>
      <c r="Y1321">
        <v>0</v>
      </c>
      <c r="Z1321">
        <v>3.0553635999999999E-2</v>
      </c>
      <c r="AA1321">
        <v>48465</v>
      </c>
      <c r="AB1321">
        <v>0.01</v>
      </c>
      <c r="AC1321">
        <v>85</v>
      </c>
      <c r="AD1321">
        <v>1.7538429999999999E-3</v>
      </c>
      <c r="AE1321">
        <v>0</v>
      </c>
      <c r="AF1321">
        <v>0</v>
      </c>
      <c r="AG1321">
        <v>0</v>
      </c>
      <c r="AH1321">
        <f t="shared" si="20"/>
        <v>0</v>
      </c>
    </row>
    <row r="1322" spans="1:34" x14ac:dyDescent="0.25">
      <c r="A1322" s="1">
        <v>45460</v>
      </c>
      <c r="B1322">
        <v>921</v>
      </c>
      <c r="C1322">
        <v>-1.0845989999999999E-3</v>
      </c>
      <c r="D1322">
        <v>1380</v>
      </c>
      <c r="E1322">
        <v>-1.0752688E-2</v>
      </c>
      <c r="F1322">
        <v>9.6680889999999995E-3</v>
      </c>
      <c r="G1322">
        <v>9.6680889999999995E-3</v>
      </c>
      <c r="H1322">
        <v>1.1994279E-2</v>
      </c>
      <c r="I1322">
        <v>3.0356686000000001E-2</v>
      </c>
      <c r="J1322">
        <v>1</v>
      </c>
      <c r="K1322">
        <v>0</v>
      </c>
      <c r="L1322">
        <v>-1</v>
      </c>
      <c r="M1322">
        <v>5</v>
      </c>
      <c r="N1322">
        <v>14.8548212</v>
      </c>
      <c r="O1322">
        <v>-45</v>
      </c>
      <c r="P1322">
        <v>5</v>
      </c>
      <c r="Q1322">
        <v>50</v>
      </c>
      <c r="R1322">
        <v>41445</v>
      </c>
      <c r="S1322">
        <v>-6900</v>
      </c>
      <c r="T1322">
        <v>90</v>
      </c>
      <c r="U1322">
        <v>25</v>
      </c>
      <c r="V1322" t="s">
        <v>35</v>
      </c>
      <c r="W1322">
        <v>41445</v>
      </c>
      <c r="X1322">
        <v>-6900</v>
      </c>
      <c r="Y1322">
        <v>115</v>
      </c>
      <c r="Z1322">
        <v>3.0356686000000001E-2</v>
      </c>
      <c r="AA1322">
        <v>48345</v>
      </c>
      <c r="AB1322">
        <v>0.01</v>
      </c>
      <c r="AC1322">
        <v>115</v>
      </c>
      <c r="AD1322">
        <v>2.3787359999999998E-3</v>
      </c>
      <c r="AE1322">
        <v>0</v>
      </c>
      <c r="AF1322">
        <v>115</v>
      </c>
      <c r="AG1322">
        <v>0</v>
      </c>
      <c r="AH1322">
        <f t="shared" si="20"/>
        <v>2.3787361671320714E-3</v>
      </c>
    </row>
    <row r="1323" spans="1:34" x14ac:dyDescent="0.25">
      <c r="A1323" s="1">
        <v>45461</v>
      </c>
      <c r="B1323">
        <v>943</v>
      </c>
      <c r="C1323">
        <v>2.3887078999999999E-2</v>
      </c>
      <c r="D1323">
        <v>1405</v>
      </c>
      <c r="E1323">
        <v>1.8115941999999999E-2</v>
      </c>
      <c r="F1323">
        <v>5.771137E-3</v>
      </c>
      <c r="G1323">
        <v>5.771137E-3</v>
      </c>
      <c r="H1323">
        <v>1.3092595E-2</v>
      </c>
      <c r="I1323">
        <v>2.8208621E-2</v>
      </c>
      <c r="J1323">
        <v>1</v>
      </c>
      <c r="K1323">
        <v>0</v>
      </c>
      <c r="L1323">
        <v>0</v>
      </c>
      <c r="M1323">
        <v>5</v>
      </c>
      <c r="N1323">
        <v>1.1299585249999999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W1323">
        <v>0</v>
      </c>
      <c r="X1323">
        <v>0</v>
      </c>
      <c r="Y1323">
        <v>0</v>
      </c>
      <c r="Z1323">
        <v>2.8208621E-2</v>
      </c>
      <c r="AA1323">
        <v>0</v>
      </c>
      <c r="AB1323" t="s">
        <v>33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f t="shared" si="20"/>
        <v>0</v>
      </c>
    </row>
    <row r="1324" spans="1:34" x14ac:dyDescent="0.25">
      <c r="A1324" s="1">
        <v>45462</v>
      </c>
      <c r="B1324">
        <v>981</v>
      </c>
      <c r="C1324">
        <v>4.0296924999999997E-2</v>
      </c>
      <c r="D1324">
        <v>1485</v>
      </c>
      <c r="E1324">
        <v>5.6939502000000003E-2</v>
      </c>
      <c r="F1324">
        <v>-1.6642576999999999E-2</v>
      </c>
      <c r="G1324">
        <v>1.6642576999999999E-2</v>
      </c>
      <c r="H1324">
        <v>1.6809412999999999E-2</v>
      </c>
      <c r="I1324">
        <v>3.2651403000000002E-2</v>
      </c>
      <c r="J1324">
        <v>0</v>
      </c>
      <c r="K1324">
        <v>0</v>
      </c>
      <c r="L1324">
        <v>0</v>
      </c>
      <c r="M1324">
        <v>5</v>
      </c>
      <c r="N1324">
        <v>2.1389429689999999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W1324">
        <v>0</v>
      </c>
      <c r="X1324">
        <v>0</v>
      </c>
      <c r="Y1324">
        <v>0</v>
      </c>
      <c r="Z1324">
        <v>3.2651403000000002E-2</v>
      </c>
      <c r="AA1324">
        <v>0</v>
      </c>
      <c r="AB1324" t="s">
        <v>33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f t="shared" si="20"/>
        <v>0</v>
      </c>
    </row>
    <row r="1325" spans="1:34" x14ac:dyDescent="0.25">
      <c r="A1325" s="1">
        <v>45463</v>
      </c>
      <c r="B1325">
        <v>981</v>
      </c>
      <c r="C1325">
        <v>0</v>
      </c>
      <c r="D1325">
        <v>1500</v>
      </c>
      <c r="E1325">
        <v>1.0101010000000001E-2</v>
      </c>
      <c r="F1325">
        <v>-1.0101010000000001E-2</v>
      </c>
      <c r="G1325">
        <v>1.0101010000000001E-2</v>
      </c>
      <c r="H1325">
        <v>1.8203269000000001E-2</v>
      </c>
      <c r="I1325">
        <v>2.5037878999999999E-2</v>
      </c>
      <c r="J1325">
        <v>0</v>
      </c>
      <c r="K1325">
        <v>0</v>
      </c>
      <c r="L1325">
        <v>0</v>
      </c>
      <c r="M1325">
        <v>5</v>
      </c>
      <c r="N1325" t="s">
        <v>36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W1325">
        <v>0</v>
      </c>
      <c r="X1325">
        <v>0</v>
      </c>
      <c r="Y1325">
        <v>0</v>
      </c>
      <c r="Z1325">
        <v>2.5037878999999999E-2</v>
      </c>
      <c r="AA1325">
        <v>0</v>
      </c>
      <c r="AB1325" t="s">
        <v>33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f t="shared" si="20"/>
        <v>0</v>
      </c>
    </row>
    <row r="1326" spans="1:34" x14ac:dyDescent="0.25">
      <c r="A1326" s="1">
        <v>45464</v>
      </c>
      <c r="B1326">
        <v>970</v>
      </c>
      <c r="C1326">
        <v>-1.1213048E-2</v>
      </c>
      <c r="D1326">
        <v>1490</v>
      </c>
      <c r="E1326">
        <v>-6.6666670000000003E-3</v>
      </c>
      <c r="F1326">
        <v>-4.5463810000000004E-3</v>
      </c>
      <c r="G1326">
        <v>4.5463810000000004E-3</v>
      </c>
      <c r="H1326">
        <v>2.1112228E-2</v>
      </c>
      <c r="I1326">
        <v>2.6994102999999998E-2</v>
      </c>
      <c r="J1326">
        <v>0</v>
      </c>
      <c r="K1326">
        <v>0</v>
      </c>
      <c r="L1326">
        <v>0</v>
      </c>
      <c r="M1326">
        <v>5</v>
      </c>
      <c r="N1326">
        <v>0.91327085299999999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W1326">
        <v>0</v>
      </c>
      <c r="X1326">
        <v>0</v>
      </c>
      <c r="Y1326">
        <v>0</v>
      </c>
      <c r="Z1326">
        <v>2.6994102999999998E-2</v>
      </c>
      <c r="AA1326">
        <v>0</v>
      </c>
      <c r="AB1326" t="s">
        <v>33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f t="shared" si="20"/>
        <v>0</v>
      </c>
    </row>
    <row r="1327" spans="1:34" x14ac:dyDescent="0.25">
      <c r="A1327" s="1">
        <v>45467</v>
      </c>
      <c r="B1327">
        <v>940</v>
      </c>
      <c r="C1327">
        <v>-3.0927835000000001E-2</v>
      </c>
      <c r="D1327">
        <v>1410</v>
      </c>
      <c r="E1327">
        <v>-5.3691274999999997E-2</v>
      </c>
      <c r="F1327">
        <v>2.2763439999999999E-2</v>
      </c>
      <c r="G1327">
        <v>2.2763439999999999E-2</v>
      </c>
      <c r="H1327">
        <v>2.8193609000000001E-2</v>
      </c>
      <c r="I1327">
        <v>4.0238441999999999E-2</v>
      </c>
      <c r="J1327">
        <v>1</v>
      </c>
      <c r="K1327">
        <v>0</v>
      </c>
      <c r="L1327">
        <v>0</v>
      </c>
      <c r="M1327">
        <v>5</v>
      </c>
      <c r="N1327">
        <v>2.604026846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W1327">
        <v>0</v>
      </c>
      <c r="X1327">
        <v>0</v>
      </c>
      <c r="Y1327">
        <v>0</v>
      </c>
      <c r="Z1327">
        <v>4.0238441999999999E-2</v>
      </c>
      <c r="AA1327">
        <v>0</v>
      </c>
      <c r="AB1327" t="s">
        <v>33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f t="shared" si="20"/>
        <v>0</v>
      </c>
    </row>
    <row r="1328" spans="1:34" x14ac:dyDescent="0.25">
      <c r="A1328" s="1">
        <v>45468</v>
      </c>
      <c r="B1328">
        <v>945</v>
      </c>
      <c r="C1328">
        <v>5.3191489999999996E-3</v>
      </c>
      <c r="D1328">
        <v>1385</v>
      </c>
      <c r="E1328">
        <v>-1.7730495999999998E-2</v>
      </c>
      <c r="F1328">
        <v>2.3049645000000001E-2</v>
      </c>
      <c r="G1328">
        <v>2.3049645000000001E-2</v>
      </c>
      <c r="H1328">
        <v>2.6134190000000002E-2</v>
      </c>
      <c r="I1328">
        <v>4.0500907000000003E-2</v>
      </c>
      <c r="J1328">
        <v>1</v>
      </c>
      <c r="K1328">
        <v>0</v>
      </c>
      <c r="L1328">
        <v>0</v>
      </c>
      <c r="M1328">
        <v>5</v>
      </c>
      <c r="N1328">
        <v>4.885361552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W1328">
        <v>0</v>
      </c>
      <c r="X1328">
        <v>0</v>
      </c>
      <c r="Y1328">
        <v>0</v>
      </c>
      <c r="Z1328">
        <v>4.0500907000000003E-2</v>
      </c>
      <c r="AA1328">
        <v>0</v>
      </c>
      <c r="AB1328" t="s">
        <v>33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f t="shared" si="20"/>
        <v>0</v>
      </c>
    </row>
    <row r="1329" spans="1:34" x14ac:dyDescent="0.25">
      <c r="A1329" s="1">
        <v>45469</v>
      </c>
      <c r="B1329">
        <v>960</v>
      </c>
      <c r="C1329">
        <v>1.5873016E-2</v>
      </c>
      <c r="D1329">
        <v>1405</v>
      </c>
      <c r="E1329">
        <v>1.4440433000000001E-2</v>
      </c>
      <c r="F1329">
        <v>1.4325830000000001E-3</v>
      </c>
      <c r="G1329">
        <v>1.4325830000000001E-3</v>
      </c>
      <c r="H1329">
        <v>1.7851748000000001E-2</v>
      </c>
      <c r="I1329">
        <v>2.7288588999999999E-2</v>
      </c>
      <c r="J1329">
        <v>1</v>
      </c>
      <c r="K1329">
        <v>0</v>
      </c>
      <c r="L1329">
        <v>0</v>
      </c>
      <c r="M1329">
        <v>5</v>
      </c>
      <c r="N1329">
        <v>1.3314530689999999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W1329">
        <v>0</v>
      </c>
      <c r="X1329">
        <v>0</v>
      </c>
      <c r="Y1329">
        <v>0</v>
      </c>
      <c r="Z1329">
        <v>2.7288588999999999E-2</v>
      </c>
      <c r="AA1329">
        <v>0</v>
      </c>
      <c r="AB1329" t="s">
        <v>33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f t="shared" si="20"/>
        <v>0</v>
      </c>
    </row>
    <row r="1330" spans="1:34" x14ac:dyDescent="0.25">
      <c r="A1330" s="1">
        <v>45470</v>
      </c>
      <c r="B1330">
        <v>960</v>
      </c>
      <c r="C1330">
        <v>0</v>
      </c>
      <c r="D1330">
        <v>1395</v>
      </c>
      <c r="E1330">
        <v>-7.1174380000000002E-3</v>
      </c>
      <c r="F1330">
        <v>7.1174380000000002E-3</v>
      </c>
      <c r="G1330">
        <v>7.1174380000000002E-3</v>
      </c>
      <c r="H1330">
        <v>1.7851748000000001E-2</v>
      </c>
      <c r="I1330">
        <v>2.4996012000000001E-2</v>
      </c>
      <c r="J1330">
        <v>1</v>
      </c>
      <c r="K1330">
        <v>0</v>
      </c>
      <c r="L1330">
        <v>0</v>
      </c>
      <c r="M1330">
        <v>5</v>
      </c>
      <c r="N1330" t="s">
        <v>36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W1330">
        <v>0</v>
      </c>
      <c r="X1330">
        <v>0</v>
      </c>
      <c r="Y1330">
        <v>0</v>
      </c>
      <c r="Z1330">
        <v>2.4996012000000001E-2</v>
      </c>
      <c r="AA1330">
        <v>0</v>
      </c>
      <c r="AB1330" t="s">
        <v>33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f t="shared" si="20"/>
        <v>0</v>
      </c>
    </row>
    <row r="1331" spans="1:34" x14ac:dyDescent="0.25">
      <c r="A1331" s="1">
        <v>45471</v>
      </c>
      <c r="B1331">
        <v>966</v>
      </c>
      <c r="C1331">
        <v>6.2500000000000003E-3</v>
      </c>
      <c r="D1331">
        <v>1400</v>
      </c>
      <c r="E1331">
        <v>3.584229E-3</v>
      </c>
      <c r="F1331">
        <v>2.6657709999999999E-3</v>
      </c>
      <c r="G1331">
        <v>2.6657709999999999E-3</v>
      </c>
      <c r="H1331">
        <v>1.7842431999999998E-2</v>
      </c>
      <c r="I1331">
        <v>2.6156988999999999E-2</v>
      </c>
      <c r="J1331">
        <v>1</v>
      </c>
      <c r="K1331">
        <v>0</v>
      </c>
      <c r="L1331">
        <v>0</v>
      </c>
      <c r="M1331">
        <v>5</v>
      </c>
      <c r="N1331">
        <v>0.83112565599999999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W1331">
        <v>0</v>
      </c>
      <c r="X1331">
        <v>0</v>
      </c>
      <c r="Y1331">
        <v>0</v>
      </c>
      <c r="Z1331">
        <v>2.6156988999999999E-2</v>
      </c>
      <c r="AA1331">
        <v>0</v>
      </c>
      <c r="AB1331" t="s">
        <v>33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f t="shared" si="20"/>
        <v>0</v>
      </c>
    </row>
    <row r="1332" spans="1:34" x14ac:dyDescent="0.25">
      <c r="A1332" s="1">
        <v>45474</v>
      </c>
      <c r="B1332">
        <v>968</v>
      </c>
      <c r="C1332">
        <v>2.0703929999999998E-3</v>
      </c>
      <c r="D1332">
        <v>1415</v>
      </c>
      <c r="E1332">
        <v>1.0714286E-2</v>
      </c>
      <c r="F1332">
        <v>-8.6438920000000002E-3</v>
      </c>
      <c r="G1332">
        <v>8.6438920000000002E-3</v>
      </c>
      <c r="H1332">
        <v>6.111399E-3</v>
      </c>
      <c r="I1332">
        <v>1.3211445E-2</v>
      </c>
      <c r="J1332">
        <v>0</v>
      </c>
      <c r="K1332">
        <v>0</v>
      </c>
      <c r="L1332">
        <v>0</v>
      </c>
      <c r="M1332">
        <v>5</v>
      </c>
      <c r="N1332">
        <v>7.5646952479999996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W1332">
        <v>0</v>
      </c>
      <c r="X1332">
        <v>0</v>
      </c>
      <c r="Y1332">
        <v>0</v>
      </c>
      <c r="Z1332">
        <v>1.3211445E-2</v>
      </c>
      <c r="AA1332">
        <v>0</v>
      </c>
      <c r="AB1332" t="s">
        <v>33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f t="shared" si="20"/>
        <v>0</v>
      </c>
    </row>
    <row r="1333" spans="1:34" x14ac:dyDescent="0.25">
      <c r="A1333" s="1">
        <v>45475</v>
      </c>
      <c r="B1333">
        <v>960</v>
      </c>
      <c r="C1333">
        <v>-8.2644629999999997E-3</v>
      </c>
      <c r="D1333">
        <v>1410</v>
      </c>
      <c r="E1333">
        <v>-3.5335689999999999E-3</v>
      </c>
      <c r="F1333">
        <v>-4.7308940000000002E-3</v>
      </c>
      <c r="G1333">
        <v>4.7308940000000002E-3</v>
      </c>
      <c r="H1333">
        <v>8.8438779999999995E-3</v>
      </c>
      <c r="I1333">
        <v>9.1361649999999999E-3</v>
      </c>
      <c r="J1333">
        <v>0</v>
      </c>
      <c r="K1333">
        <v>0</v>
      </c>
      <c r="L1333">
        <v>0</v>
      </c>
      <c r="M1333">
        <v>5</v>
      </c>
      <c r="N1333">
        <v>0.62798144899999997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W1333">
        <v>0</v>
      </c>
      <c r="X1333">
        <v>0</v>
      </c>
      <c r="Y1333">
        <v>0</v>
      </c>
      <c r="Z1333">
        <v>9.1361649999999999E-3</v>
      </c>
      <c r="AA1333">
        <v>0</v>
      </c>
      <c r="AB1333" t="s">
        <v>33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f t="shared" si="20"/>
        <v>0</v>
      </c>
    </row>
    <row r="1334" spans="1:34" x14ac:dyDescent="0.25">
      <c r="A1334" s="1">
        <v>45476</v>
      </c>
      <c r="B1334">
        <v>979</v>
      </c>
      <c r="C1334">
        <v>1.9791666999999999E-2</v>
      </c>
      <c r="D1334">
        <v>1405</v>
      </c>
      <c r="E1334">
        <v>-3.546099E-3</v>
      </c>
      <c r="F1334">
        <v>2.3337765999999999E-2</v>
      </c>
      <c r="G1334">
        <v>2.3337765999999999E-2</v>
      </c>
      <c r="H1334">
        <v>1.0302609000000001E-2</v>
      </c>
      <c r="I1334">
        <v>7.1302070000000004E-3</v>
      </c>
      <c r="J1334">
        <v>1</v>
      </c>
      <c r="K1334">
        <v>1</v>
      </c>
      <c r="L1334">
        <v>1</v>
      </c>
      <c r="M1334">
        <v>5</v>
      </c>
      <c r="N1334">
        <v>0.25713556900000001</v>
      </c>
      <c r="O1334">
        <v>-2</v>
      </c>
      <c r="P1334">
        <v>5</v>
      </c>
      <c r="Q1334">
        <v>7</v>
      </c>
      <c r="R1334">
        <v>1958</v>
      </c>
      <c r="S1334">
        <v>-7025</v>
      </c>
      <c r="T1334">
        <v>0</v>
      </c>
      <c r="U1334">
        <v>0</v>
      </c>
      <c r="V1334" t="s">
        <v>34</v>
      </c>
      <c r="W1334">
        <v>1958</v>
      </c>
      <c r="X1334">
        <v>-7025</v>
      </c>
      <c r="Y1334">
        <v>0</v>
      </c>
      <c r="Z1334">
        <v>1.0302609000000001E-2</v>
      </c>
      <c r="AA1334">
        <v>8983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8983</v>
      </c>
      <c r="AH1334">
        <f t="shared" si="20"/>
        <v>0</v>
      </c>
    </row>
    <row r="1335" spans="1:34" x14ac:dyDescent="0.25">
      <c r="A1335" s="1">
        <v>45477</v>
      </c>
      <c r="B1335">
        <v>1005</v>
      </c>
      <c r="C1335">
        <v>2.6557712000000001E-2</v>
      </c>
      <c r="D1335">
        <v>1375</v>
      </c>
      <c r="E1335">
        <v>-2.1352313000000001E-2</v>
      </c>
      <c r="F1335">
        <v>4.7910025000000002E-2</v>
      </c>
      <c r="G1335">
        <v>4.7910025000000002E-2</v>
      </c>
      <c r="H1335">
        <v>1.3946164E-2</v>
      </c>
      <c r="I1335">
        <v>1.1923441999999999E-2</v>
      </c>
      <c r="J1335">
        <v>1</v>
      </c>
      <c r="K1335">
        <v>1</v>
      </c>
      <c r="L1335">
        <v>0</v>
      </c>
      <c r="M1335">
        <v>5</v>
      </c>
      <c r="N1335">
        <v>1.099995506</v>
      </c>
      <c r="O1335">
        <v>2</v>
      </c>
      <c r="P1335">
        <v>-5</v>
      </c>
      <c r="Q1335">
        <v>7</v>
      </c>
      <c r="R1335">
        <v>-2010</v>
      </c>
      <c r="S1335">
        <v>6875</v>
      </c>
      <c r="T1335">
        <v>-52</v>
      </c>
      <c r="U1335">
        <v>-150</v>
      </c>
      <c r="V1335" t="s">
        <v>37</v>
      </c>
      <c r="W1335">
        <v>0</v>
      </c>
      <c r="X1335">
        <v>0</v>
      </c>
      <c r="Y1335">
        <v>0</v>
      </c>
      <c r="Z1335">
        <v>1.3946164E-2</v>
      </c>
      <c r="AA1335">
        <v>8885</v>
      </c>
      <c r="AB1335">
        <v>0</v>
      </c>
      <c r="AC1335">
        <v>-202</v>
      </c>
      <c r="AD1335">
        <v>-2.2734946999999998E-2</v>
      </c>
      <c r="AE1335">
        <v>1</v>
      </c>
      <c r="AF1335">
        <v>-202</v>
      </c>
      <c r="AG1335">
        <v>0</v>
      </c>
      <c r="AH1335">
        <f t="shared" si="20"/>
        <v>-2.2734946539110863E-2</v>
      </c>
    </row>
    <row r="1336" spans="1:34" x14ac:dyDescent="0.25">
      <c r="A1336" s="1">
        <v>45478</v>
      </c>
      <c r="B1336">
        <v>1005</v>
      </c>
      <c r="C1336">
        <v>0</v>
      </c>
      <c r="D1336">
        <v>1350</v>
      </c>
      <c r="E1336">
        <v>-1.8181817999999999E-2</v>
      </c>
      <c r="F1336">
        <v>1.8181817999999999E-2</v>
      </c>
      <c r="G1336">
        <v>1.8181817999999999E-2</v>
      </c>
      <c r="H1336">
        <v>1.4552664999999999E-2</v>
      </c>
      <c r="I1336">
        <v>1.2928666E-2</v>
      </c>
      <c r="J1336">
        <v>1</v>
      </c>
      <c r="K1336">
        <v>1</v>
      </c>
      <c r="L1336">
        <v>0</v>
      </c>
      <c r="M1336">
        <v>5</v>
      </c>
      <c r="N1336" t="s">
        <v>36</v>
      </c>
      <c r="O1336">
        <v>2</v>
      </c>
      <c r="P1336">
        <v>-5</v>
      </c>
      <c r="Q1336">
        <v>7</v>
      </c>
      <c r="R1336">
        <v>-2010</v>
      </c>
      <c r="S1336">
        <v>6750</v>
      </c>
      <c r="T1336">
        <v>-52</v>
      </c>
      <c r="U1336">
        <v>-275</v>
      </c>
      <c r="V1336" t="s">
        <v>37</v>
      </c>
      <c r="W1336">
        <v>0</v>
      </c>
      <c r="X1336">
        <v>0</v>
      </c>
      <c r="Y1336">
        <v>0</v>
      </c>
      <c r="Z1336">
        <v>1.4552664999999999E-2</v>
      </c>
      <c r="AA1336">
        <v>8760</v>
      </c>
      <c r="AB1336">
        <v>0</v>
      </c>
      <c r="AC1336">
        <v>-327</v>
      </c>
      <c r="AD1336">
        <v>-3.7328766999999999E-2</v>
      </c>
      <c r="AE1336">
        <v>1</v>
      </c>
      <c r="AF1336">
        <v>0</v>
      </c>
      <c r="AG1336">
        <v>0</v>
      </c>
      <c r="AH1336">
        <f t="shared" si="20"/>
        <v>0</v>
      </c>
    </row>
    <row r="1337" spans="1:34" x14ac:dyDescent="0.25">
      <c r="A1337" s="1">
        <v>45481</v>
      </c>
      <c r="B1337">
        <v>1035</v>
      </c>
      <c r="C1337">
        <v>2.9850746000000001E-2</v>
      </c>
      <c r="D1337">
        <v>1420</v>
      </c>
      <c r="E1337">
        <v>5.1851851999999997E-2</v>
      </c>
      <c r="F1337">
        <v>-2.2001105999999999E-2</v>
      </c>
      <c r="G1337">
        <v>2.2001105999999999E-2</v>
      </c>
      <c r="H1337">
        <v>1.6832554999999999E-2</v>
      </c>
      <c r="I1337">
        <v>2.9557942E-2</v>
      </c>
      <c r="J1337">
        <v>0</v>
      </c>
      <c r="K1337">
        <v>0</v>
      </c>
      <c r="L1337">
        <v>-1</v>
      </c>
      <c r="M1337">
        <v>5</v>
      </c>
      <c r="N1337">
        <v>2.3831812490000002</v>
      </c>
      <c r="O1337">
        <v>2</v>
      </c>
      <c r="P1337">
        <v>-5</v>
      </c>
      <c r="Q1337">
        <v>7</v>
      </c>
      <c r="R1337">
        <v>-2070</v>
      </c>
      <c r="S1337">
        <v>7100</v>
      </c>
      <c r="T1337">
        <v>-112</v>
      </c>
      <c r="U1337">
        <v>75</v>
      </c>
      <c r="V1337" t="s">
        <v>35</v>
      </c>
      <c r="W1337">
        <v>-2070</v>
      </c>
      <c r="X1337">
        <v>7100</v>
      </c>
      <c r="Y1337">
        <v>-37</v>
      </c>
      <c r="Z1337">
        <v>2.9557942E-2</v>
      </c>
      <c r="AA1337">
        <v>9170</v>
      </c>
      <c r="AB1337">
        <v>0</v>
      </c>
      <c r="AC1337">
        <v>-37</v>
      </c>
      <c r="AD1337">
        <v>-4.0348959999999996E-3</v>
      </c>
      <c r="AE1337">
        <v>0</v>
      </c>
      <c r="AF1337">
        <v>0</v>
      </c>
      <c r="AG1337">
        <v>0</v>
      </c>
      <c r="AH1337">
        <f t="shared" si="20"/>
        <v>0</v>
      </c>
    </row>
    <row r="1338" spans="1:34" x14ac:dyDescent="0.25">
      <c r="A1338" s="1">
        <v>45482</v>
      </c>
      <c r="B1338">
        <v>1040</v>
      </c>
      <c r="C1338">
        <v>4.830918E-3</v>
      </c>
      <c r="D1338">
        <v>1460</v>
      </c>
      <c r="E1338">
        <v>2.8169013999999999E-2</v>
      </c>
      <c r="F1338">
        <v>-2.3338095999999999E-2</v>
      </c>
      <c r="G1338">
        <v>2.3338095999999999E-2</v>
      </c>
      <c r="H1338">
        <v>1.3211936000000001E-2</v>
      </c>
      <c r="I1338">
        <v>3.1655412000000001E-2</v>
      </c>
      <c r="J1338">
        <v>0</v>
      </c>
      <c r="K1338">
        <v>0</v>
      </c>
      <c r="L1338">
        <v>0</v>
      </c>
      <c r="M1338">
        <v>5</v>
      </c>
      <c r="N1338">
        <v>8.1858071510000006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W1338">
        <v>0</v>
      </c>
      <c r="X1338">
        <v>0</v>
      </c>
      <c r="Y1338">
        <v>0</v>
      </c>
      <c r="Z1338">
        <v>3.1655412000000001E-2</v>
      </c>
      <c r="AA1338">
        <v>0</v>
      </c>
      <c r="AB1338" t="s">
        <v>33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f t="shared" si="20"/>
        <v>0</v>
      </c>
    </row>
    <row r="1339" spans="1:34" x14ac:dyDescent="0.25">
      <c r="A1339" s="1">
        <v>45483</v>
      </c>
      <c r="B1339">
        <v>1045</v>
      </c>
      <c r="C1339">
        <v>4.8076919999999997E-3</v>
      </c>
      <c r="D1339">
        <v>1435</v>
      </c>
      <c r="E1339">
        <v>-1.7123288E-2</v>
      </c>
      <c r="F1339">
        <v>2.1930979999999999E-2</v>
      </c>
      <c r="G1339">
        <v>2.1930979999999999E-2</v>
      </c>
      <c r="H1339">
        <v>1.387793E-2</v>
      </c>
      <c r="I1339">
        <v>3.3364070000000003E-2</v>
      </c>
      <c r="J1339">
        <v>1</v>
      </c>
      <c r="K1339">
        <v>0</v>
      </c>
      <c r="L1339">
        <v>0</v>
      </c>
      <c r="M1339">
        <v>5</v>
      </c>
      <c r="N1339">
        <v>4.8908697649999997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W1339">
        <v>0</v>
      </c>
      <c r="X1339">
        <v>0</v>
      </c>
      <c r="Y1339">
        <v>0</v>
      </c>
      <c r="Z1339">
        <v>3.3364070000000003E-2</v>
      </c>
      <c r="AA1339">
        <v>0</v>
      </c>
      <c r="AB1339" t="s">
        <v>33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f t="shared" si="20"/>
        <v>0</v>
      </c>
    </row>
    <row r="1340" spans="1:34" x14ac:dyDescent="0.25">
      <c r="A1340" s="1">
        <v>45484</v>
      </c>
      <c r="B1340">
        <v>1080</v>
      </c>
      <c r="C1340">
        <v>3.3492822999999998E-2</v>
      </c>
      <c r="D1340">
        <v>1420</v>
      </c>
      <c r="E1340">
        <v>-1.0452962E-2</v>
      </c>
      <c r="F1340">
        <v>4.3945785000000001E-2</v>
      </c>
      <c r="G1340">
        <v>4.3945785000000001E-2</v>
      </c>
      <c r="H1340">
        <v>1.5763948E-2</v>
      </c>
      <c r="I1340">
        <v>3.1545086E-2</v>
      </c>
      <c r="J1340">
        <v>1</v>
      </c>
      <c r="K1340">
        <v>1</v>
      </c>
      <c r="L1340">
        <v>1</v>
      </c>
      <c r="M1340">
        <v>5</v>
      </c>
      <c r="N1340">
        <v>0.41034787900000003</v>
      </c>
      <c r="O1340">
        <v>-3</v>
      </c>
      <c r="P1340">
        <v>5</v>
      </c>
      <c r="Q1340">
        <v>8</v>
      </c>
      <c r="R1340">
        <v>3240</v>
      </c>
      <c r="S1340">
        <v>-7100</v>
      </c>
      <c r="T1340">
        <v>0</v>
      </c>
      <c r="U1340">
        <v>0</v>
      </c>
      <c r="V1340" t="s">
        <v>34</v>
      </c>
      <c r="W1340">
        <v>3240</v>
      </c>
      <c r="X1340">
        <v>-7100</v>
      </c>
      <c r="Y1340">
        <v>0</v>
      </c>
      <c r="Z1340">
        <v>3.1545086E-2</v>
      </c>
      <c r="AA1340">
        <v>10340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10340</v>
      </c>
      <c r="AH1340">
        <f t="shared" si="20"/>
        <v>0</v>
      </c>
    </row>
    <row r="1341" spans="1:34" x14ac:dyDescent="0.25">
      <c r="A1341" s="1">
        <v>45485</v>
      </c>
      <c r="B1341">
        <v>1040</v>
      </c>
      <c r="C1341">
        <v>-3.7037037000000002E-2</v>
      </c>
      <c r="D1341">
        <v>1360</v>
      </c>
      <c r="E1341">
        <v>-4.2253521000000002E-2</v>
      </c>
      <c r="F1341">
        <v>5.2164840000000004E-3</v>
      </c>
      <c r="G1341">
        <v>5.2164840000000004E-3</v>
      </c>
      <c r="H1341">
        <v>2.8163005000000001E-2</v>
      </c>
      <c r="I1341">
        <v>3.7580471999999997E-2</v>
      </c>
      <c r="J1341">
        <v>1</v>
      </c>
      <c r="K1341">
        <v>1</v>
      </c>
      <c r="L1341">
        <v>0</v>
      </c>
      <c r="M1341">
        <v>5</v>
      </c>
      <c r="N1341">
        <v>1.491874323</v>
      </c>
      <c r="O1341">
        <v>3</v>
      </c>
      <c r="P1341">
        <v>-5</v>
      </c>
      <c r="Q1341">
        <v>8</v>
      </c>
      <c r="R1341">
        <v>-3120</v>
      </c>
      <c r="S1341">
        <v>6800</v>
      </c>
      <c r="T1341">
        <v>120</v>
      </c>
      <c r="U1341">
        <v>-300</v>
      </c>
      <c r="V1341" t="s">
        <v>37</v>
      </c>
      <c r="W1341">
        <v>0</v>
      </c>
      <c r="X1341">
        <v>0</v>
      </c>
      <c r="Y1341">
        <v>0</v>
      </c>
      <c r="Z1341">
        <v>3.7580471999999997E-2</v>
      </c>
      <c r="AA1341">
        <v>9920</v>
      </c>
      <c r="AB1341">
        <v>0</v>
      </c>
      <c r="AC1341">
        <v>-180</v>
      </c>
      <c r="AD1341">
        <v>-1.8145161E-2</v>
      </c>
      <c r="AE1341">
        <v>0</v>
      </c>
      <c r="AF1341">
        <v>0</v>
      </c>
      <c r="AG1341">
        <v>0</v>
      </c>
      <c r="AH1341">
        <f t="shared" si="20"/>
        <v>0</v>
      </c>
    </row>
    <row r="1342" spans="1:34" x14ac:dyDescent="0.25">
      <c r="A1342" s="1">
        <v>45488</v>
      </c>
      <c r="B1342">
        <v>1040</v>
      </c>
      <c r="C1342">
        <v>0</v>
      </c>
      <c r="D1342">
        <v>1355</v>
      </c>
      <c r="E1342">
        <v>-3.6764710000000002E-3</v>
      </c>
      <c r="F1342">
        <v>3.6764710000000002E-3</v>
      </c>
      <c r="G1342">
        <v>3.6764710000000002E-3</v>
      </c>
      <c r="H1342">
        <v>2.5162146999999999E-2</v>
      </c>
      <c r="I1342">
        <v>2.5415292999999999E-2</v>
      </c>
      <c r="J1342">
        <v>1</v>
      </c>
      <c r="K1342">
        <v>1</v>
      </c>
      <c r="L1342">
        <v>0</v>
      </c>
      <c r="M1342">
        <v>5</v>
      </c>
      <c r="N1342" t="s">
        <v>36</v>
      </c>
      <c r="O1342">
        <v>3</v>
      </c>
      <c r="P1342">
        <v>-5</v>
      </c>
      <c r="Q1342">
        <v>8</v>
      </c>
      <c r="R1342">
        <v>-3120</v>
      </c>
      <c r="S1342">
        <v>6775</v>
      </c>
      <c r="T1342">
        <v>120</v>
      </c>
      <c r="U1342">
        <v>-325</v>
      </c>
      <c r="V1342" t="s">
        <v>37</v>
      </c>
      <c r="W1342">
        <v>0</v>
      </c>
      <c r="X1342">
        <v>0</v>
      </c>
      <c r="Y1342">
        <v>0</v>
      </c>
      <c r="Z1342">
        <v>2.5415292999999999E-2</v>
      </c>
      <c r="AA1342">
        <v>9895</v>
      </c>
      <c r="AB1342">
        <v>0</v>
      </c>
      <c r="AC1342">
        <v>-205</v>
      </c>
      <c r="AD1342">
        <v>-2.0717533999999999E-2</v>
      </c>
      <c r="AE1342">
        <v>0</v>
      </c>
      <c r="AF1342">
        <v>0</v>
      </c>
      <c r="AG1342">
        <v>0</v>
      </c>
      <c r="AH1342">
        <f t="shared" si="20"/>
        <v>0</v>
      </c>
    </row>
    <row r="1343" spans="1:34" x14ac:dyDescent="0.25">
      <c r="A1343" s="1">
        <v>45489</v>
      </c>
      <c r="B1343">
        <v>1055</v>
      </c>
      <c r="C1343">
        <v>1.4423076999999999E-2</v>
      </c>
      <c r="D1343">
        <v>1345</v>
      </c>
      <c r="E1343">
        <v>-7.3800740000000004E-3</v>
      </c>
      <c r="F1343">
        <v>2.1803151E-2</v>
      </c>
      <c r="G1343">
        <v>2.1803151E-2</v>
      </c>
      <c r="H1343">
        <v>2.5862311999999998E-2</v>
      </c>
      <c r="I1343">
        <v>1.5389072E-2</v>
      </c>
      <c r="J1343">
        <v>1</v>
      </c>
      <c r="K1343">
        <v>1</v>
      </c>
      <c r="L1343">
        <v>0</v>
      </c>
      <c r="M1343">
        <v>5</v>
      </c>
      <c r="N1343">
        <v>0.65233789799999997</v>
      </c>
      <c r="O1343">
        <v>3</v>
      </c>
      <c r="P1343">
        <v>-5</v>
      </c>
      <c r="Q1343">
        <v>8</v>
      </c>
      <c r="R1343">
        <v>-3165</v>
      </c>
      <c r="S1343">
        <v>6725</v>
      </c>
      <c r="T1343">
        <v>75</v>
      </c>
      <c r="U1343">
        <v>-375</v>
      </c>
      <c r="V1343" t="s">
        <v>37</v>
      </c>
      <c r="W1343">
        <v>0</v>
      </c>
      <c r="X1343">
        <v>0</v>
      </c>
      <c r="Y1343">
        <v>0</v>
      </c>
      <c r="Z1343">
        <v>2.5862311999999998E-2</v>
      </c>
      <c r="AA1343">
        <v>9890</v>
      </c>
      <c r="AB1343">
        <v>0</v>
      </c>
      <c r="AC1343">
        <v>-300</v>
      </c>
      <c r="AD1343">
        <v>-3.033367E-2</v>
      </c>
      <c r="AE1343">
        <v>1</v>
      </c>
      <c r="AF1343">
        <v>-300</v>
      </c>
      <c r="AG1343">
        <v>0</v>
      </c>
      <c r="AH1343">
        <f t="shared" si="20"/>
        <v>-3.0333670374115267E-2</v>
      </c>
    </row>
    <row r="1344" spans="1:34" x14ac:dyDescent="0.25">
      <c r="A1344" s="1">
        <v>45490</v>
      </c>
      <c r="B1344">
        <v>1030</v>
      </c>
      <c r="C1344">
        <v>-2.3696682E-2</v>
      </c>
      <c r="D1344">
        <v>1325</v>
      </c>
      <c r="E1344">
        <v>-1.4869888E-2</v>
      </c>
      <c r="F1344">
        <v>-8.8267940000000007E-3</v>
      </c>
      <c r="G1344">
        <v>8.8267940000000007E-3</v>
      </c>
      <c r="H1344">
        <v>2.8417468000000001E-2</v>
      </c>
      <c r="I1344">
        <v>1.5387437E-2</v>
      </c>
      <c r="J1344">
        <v>0</v>
      </c>
      <c r="K1344">
        <v>0</v>
      </c>
      <c r="L1344">
        <v>-1</v>
      </c>
      <c r="M1344">
        <v>5</v>
      </c>
      <c r="N1344">
        <v>0.80723282900000004</v>
      </c>
      <c r="O1344">
        <v>3</v>
      </c>
      <c r="P1344">
        <v>-5</v>
      </c>
      <c r="Q1344">
        <v>8</v>
      </c>
      <c r="R1344">
        <v>-3090</v>
      </c>
      <c r="S1344">
        <v>6625</v>
      </c>
      <c r="T1344">
        <v>150</v>
      </c>
      <c r="U1344">
        <v>-475</v>
      </c>
      <c r="V1344" t="s">
        <v>35</v>
      </c>
      <c r="W1344">
        <v>-3090</v>
      </c>
      <c r="X1344">
        <v>6625</v>
      </c>
      <c r="Y1344">
        <v>-325</v>
      </c>
      <c r="Z1344">
        <v>2.8417468000000001E-2</v>
      </c>
      <c r="AA1344">
        <v>9715</v>
      </c>
      <c r="AB1344">
        <v>0</v>
      </c>
      <c r="AC1344">
        <v>-325</v>
      </c>
      <c r="AD1344">
        <v>-3.3453423000000003E-2</v>
      </c>
      <c r="AE1344">
        <v>1</v>
      </c>
      <c r="AF1344">
        <v>0</v>
      </c>
      <c r="AG1344">
        <v>0</v>
      </c>
      <c r="AH1344">
        <f t="shared" si="20"/>
        <v>0</v>
      </c>
    </row>
    <row r="1345" spans="1:34" x14ac:dyDescent="0.25">
      <c r="A1345" s="1">
        <v>45491</v>
      </c>
      <c r="B1345">
        <v>1005</v>
      </c>
      <c r="C1345">
        <v>-2.4271845E-2</v>
      </c>
      <c r="D1345">
        <v>1280</v>
      </c>
      <c r="E1345">
        <v>-3.3962263999999999E-2</v>
      </c>
      <c r="F1345">
        <v>9.6904190000000005E-3</v>
      </c>
      <c r="G1345">
        <v>9.6904190000000005E-3</v>
      </c>
      <c r="H1345">
        <v>2.0820933E-2</v>
      </c>
      <c r="I1345">
        <v>1.6891449999999999E-2</v>
      </c>
      <c r="J1345">
        <v>1</v>
      </c>
      <c r="K1345">
        <v>0</v>
      </c>
      <c r="L1345">
        <v>0</v>
      </c>
      <c r="M1345">
        <v>5</v>
      </c>
      <c r="N1345">
        <v>1.7821233460000001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W1345">
        <v>0</v>
      </c>
      <c r="X1345">
        <v>0</v>
      </c>
      <c r="Y1345">
        <v>0</v>
      </c>
      <c r="Z1345">
        <v>2.0820933E-2</v>
      </c>
      <c r="AA1345">
        <v>0</v>
      </c>
      <c r="AB1345" t="s">
        <v>33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f t="shared" si="20"/>
        <v>0</v>
      </c>
    </row>
    <row r="1346" spans="1:34" x14ac:dyDescent="0.25">
      <c r="A1346" s="1">
        <v>45492</v>
      </c>
      <c r="B1346">
        <v>970</v>
      </c>
      <c r="C1346">
        <v>-3.4825871000000001E-2</v>
      </c>
      <c r="D1346">
        <v>1260</v>
      </c>
      <c r="E1346">
        <v>-1.5625E-2</v>
      </c>
      <c r="F1346">
        <v>-1.9200871000000001E-2</v>
      </c>
      <c r="G1346">
        <v>1.9200871000000001E-2</v>
      </c>
      <c r="H1346">
        <v>2.0227419999999999E-2</v>
      </c>
      <c r="I1346">
        <v>1.1685545E-2</v>
      </c>
      <c r="J1346">
        <v>0</v>
      </c>
      <c r="K1346">
        <v>0</v>
      </c>
      <c r="L1346">
        <v>0</v>
      </c>
      <c r="M1346">
        <v>5</v>
      </c>
      <c r="N1346">
        <v>0.582796392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W1346">
        <v>0</v>
      </c>
      <c r="X1346">
        <v>0</v>
      </c>
      <c r="Y1346">
        <v>0</v>
      </c>
      <c r="Z1346">
        <v>2.0227419999999999E-2</v>
      </c>
      <c r="AA1346">
        <v>0</v>
      </c>
      <c r="AB1346" t="s">
        <v>33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f t="shared" si="20"/>
        <v>0</v>
      </c>
    </row>
    <row r="1347" spans="1:34" x14ac:dyDescent="0.25">
      <c r="A1347" s="1">
        <v>45495</v>
      </c>
      <c r="B1347">
        <v>939</v>
      </c>
      <c r="C1347">
        <v>-3.1958763000000001E-2</v>
      </c>
      <c r="D1347">
        <v>1225</v>
      </c>
      <c r="E1347">
        <v>-2.7777777999999999E-2</v>
      </c>
      <c r="F1347">
        <v>-4.1809849999999999E-3</v>
      </c>
      <c r="G1347">
        <v>4.1809849999999999E-3</v>
      </c>
      <c r="H1347">
        <v>1.9872462E-2</v>
      </c>
      <c r="I1347">
        <v>1.0725323E-2</v>
      </c>
      <c r="J1347">
        <v>0</v>
      </c>
      <c r="K1347">
        <v>0</v>
      </c>
      <c r="L1347">
        <v>0</v>
      </c>
      <c r="M1347">
        <v>5</v>
      </c>
      <c r="N1347">
        <v>1.1339085659999999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W1347">
        <v>0</v>
      </c>
      <c r="X1347">
        <v>0</v>
      </c>
      <c r="Y1347">
        <v>0</v>
      </c>
      <c r="Z1347">
        <v>1.9872462E-2</v>
      </c>
      <c r="AA1347">
        <v>0</v>
      </c>
      <c r="AB1347" t="s">
        <v>33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f t="shared" ref="AH1347:AH1375" si="21">IF(AF1347&lt;&gt;0,AF1347/AA1347,0)</f>
        <v>0</v>
      </c>
    </row>
    <row r="1348" spans="1:34" x14ac:dyDescent="0.25">
      <c r="A1348" s="1">
        <v>45496</v>
      </c>
      <c r="B1348">
        <v>979</v>
      </c>
      <c r="C1348">
        <v>4.2598509E-2</v>
      </c>
      <c r="D1348">
        <v>1275</v>
      </c>
      <c r="E1348">
        <v>4.0816326999999999E-2</v>
      </c>
      <c r="F1348">
        <v>1.7821829999999999E-3</v>
      </c>
      <c r="G1348">
        <v>1.7821829999999999E-3</v>
      </c>
      <c r="H1348">
        <v>3.2242182000000001E-2</v>
      </c>
      <c r="I1348">
        <v>2.9696349E-2</v>
      </c>
      <c r="J1348">
        <v>1</v>
      </c>
      <c r="K1348">
        <v>0</v>
      </c>
      <c r="L1348">
        <v>0</v>
      </c>
      <c r="M1348">
        <v>5</v>
      </c>
      <c r="N1348">
        <v>1.2478632919999999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W1348">
        <v>0</v>
      </c>
      <c r="X1348">
        <v>0</v>
      </c>
      <c r="Y1348">
        <v>0</v>
      </c>
      <c r="Z1348">
        <v>3.2242182000000001E-2</v>
      </c>
      <c r="AA1348">
        <v>0</v>
      </c>
      <c r="AB1348" t="s">
        <v>33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f t="shared" si="21"/>
        <v>0</v>
      </c>
    </row>
    <row r="1349" spans="1:34" x14ac:dyDescent="0.25">
      <c r="A1349" s="1">
        <v>45498</v>
      </c>
      <c r="B1349">
        <v>979</v>
      </c>
      <c r="C1349">
        <v>0</v>
      </c>
      <c r="D1349">
        <v>1275</v>
      </c>
      <c r="E1349">
        <v>0</v>
      </c>
      <c r="F1349">
        <v>0</v>
      </c>
      <c r="G1349">
        <v>0</v>
      </c>
      <c r="H1349">
        <v>3.2281280000000002E-2</v>
      </c>
      <c r="I1349">
        <v>2.9866334000000001E-2</v>
      </c>
      <c r="J1349">
        <v>1</v>
      </c>
      <c r="K1349">
        <v>0</v>
      </c>
      <c r="L1349">
        <v>0</v>
      </c>
      <c r="M1349">
        <v>5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W1349">
        <v>0</v>
      </c>
      <c r="X1349">
        <v>0</v>
      </c>
      <c r="Y1349">
        <v>0</v>
      </c>
      <c r="Z1349">
        <v>3.2281280000000002E-2</v>
      </c>
      <c r="AA1349">
        <v>0</v>
      </c>
      <c r="AB1349" t="s">
        <v>33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f t="shared" si="21"/>
        <v>0</v>
      </c>
    </row>
    <row r="1350" spans="1:34" x14ac:dyDescent="0.25">
      <c r="A1350" s="1">
        <v>45499</v>
      </c>
      <c r="B1350">
        <v>924</v>
      </c>
      <c r="C1350">
        <v>-5.6179775000000001E-2</v>
      </c>
      <c r="D1350">
        <v>1245</v>
      </c>
      <c r="E1350">
        <v>-2.3529412E-2</v>
      </c>
      <c r="F1350">
        <v>-3.2650364000000001E-2</v>
      </c>
      <c r="G1350">
        <v>3.2650364000000001E-2</v>
      </c>
      <c r="H1350">
        <v>3.8448889E-2</v>
      </c>
      <c r="I1350">
        <v>2.7834078000000002E-2</v>
      </c>
      <c r="J1350">
        <v>0</v>
      </c>
      <c r="K1350">
        <v>0</v>
      </c>
      <c r="L1350">
        <v>0</v>
      </c>
      <c r="M1350">
        <v>5</v>
      </c>
      <c r="N1350">
        <v>0.56432391100000001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W1350">
        <v>0</v>
      </c>
      <c r="X1350">
        <v>0</v>
      </c>
      <c r="Y1350">
        <v>0</v>
      </c>
      <c r="Z1350">
        <v>3.8448889E-2</v>
      </c>
      <c r="AA1350">
        <v>0</v>
      </c>
      <c r="AB1350" t="s">
        <v>33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f t="shared" si="21"/>
        <v>0</v>
      </c>
    </row>
    <row r="1351" spans="1:34" x14ac:dyDescent="0.25">
      <c r="A1351" s="1">
        <v>45502</v>
      </c>
      <c r="B1351">
        <v>944</v>
      </c>
      <c r="C1351">
        <v>2.1645022E-2</v>
      </c>
      <c r="D1351">
        <v>1240</v>
      </c>
      <c r="E1351">
        <v>-4.0160639999999997E-3</v>
      </c>
      <c r="F1351">
        <v>2.5661086E-2</v>
      </c>
      <c r="G1351">
        <v>2.5661086E-2</v>
      </c>
      <c r="H1351">
        <v>3.9832383999999998E-2</v>
      </c>
      <c r="I1351">
        <v>2.7227050999999999E-2</v>
      </c>
      <c r="J1351">
        <v>1</v>
      </c>
      <c r="K1351">
        <v>0</v>
      </c>
      <c r="L1351">
        <v>0</v>
      </c>
      <c r="M1351">
        <v>5</v>
      </c>
      <c r="N1351">
        <v>0.24372064500000001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W1351">
        <v>0</v>
      </c>
      <c r="X1351">
        <v>0</v>
      </c>
      <c r="Y1351">
        <v>0</v>
      </c>
      <c r="Z1351">
        <v>3.9832383999999998E-2</v>
      </c>
      <c r="AA1351">
        <v>0</v>
      </c>
      <c r="AB1351" t="s">
        <v>33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f t="shared" si="21"/>
        <v>0</v>
      </c>
    </row>
    <row r="1352" spans="1:34" x14ac:dyDescent="0.25">
      <c r="A1352" s="1">
        <v>45503</v>
      </c>
      <c r="B1352">
        <v>940</v>
      </c>
      <c r="C1352">
        <v>-4.2372879999999996E-3</v>
      </c>
      <c r="D1352">
        <v>1255</v>
      </c>
      <c r="E1352">
        <v>1.2096773999999999E-2</v>
      </c>
      <c r="F1352">
        <v>-1.6334062E-2</v>
      </c>
      <c r="G1352">
        <v>1.6334062E-2</v>
      </c>
      <c r="H1352">
        <v>3.6926728999999998E-2</v>
      </c>
      <c r="I1352">
        <v>2.3734801E-2</v>
      </c>
      <c r="J1352">
        <v>0</v>
      </c>
      <c r="K1352">
        <v>0</v>
      </c>
      <c r="L1352">
        <v>0</v>
      </c>
      <c r="M1352">
        <v>5</v>
      </c>
      <c r="N1352">
        <v>3.8115133839999999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W1352">
        <v>0</v>
      </c>
      <c r="X1352">
        <v>0</v>
      </c>
      <c r="Y1352">
        <v>0</v>
      </c>
      <c r="Z1352">
        <v>3.6926728999999998E-2</v>
      </c>
      <c r="AA1352">
        <v>0</v>
      </c>
      <c r="AB1352" t="s">
        <v>33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f t="shared" si="21"/>
        <v>0</v>
      </c>
    </row>
    <row r="1353" spans="1:34" x14ac:dyDescent="0.25">
      <c r="A1353" s="1">
        <v>45504</v>
      </c>
      <c r="B1353">
        <v>934</v>
      </c>
      <c r="C1353">
        <v>-6.3829790000000004E-3</v>
      </c>
      <c r="D1353">
        <v>1220</v>
      </c>
      <c r="E1353">
        <v>-2.7888446000000001E-2</v>
      </c>
      <c r="F1353">
        <v>2.1505467E-2</v>
      </c>
      <c r="G1353">
        <v>2.1505467E-2</v>
      </c>
      <c r="H1353">
        <v>2.8616323999999999E-2</v>
      </c>
      <c r="I1353">
        <v>1.6720031E-2</v>
      </c>
      <c r="J1353">
        <v>1</v>
      </c>
      <c r="K1353">
        <v>0</v>
      </c>
      <c r="L1353">
        <v>0</v>
      </c>
      <c r="M1353">
        <v>5</v>
      </c>
      <c r="N1353">
        <v>5.7070788940000003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W1353">
        <v>0</v>
      </c>
      <c r="X1353">
        <v>0</v>
      </c>
      <c r="Y1353">
        <v>0</v>
      </c>
      <c r="Z1353">
        <v>2.8616323999999999E-2</v>
      </c>
      <c r="AA1353">
        <v>0</v>
      </c>
      <c r="AB1353" t="s">
        <v>33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f t="shared" si="21"/>
        <v>0</v>
      </c>
    </row>
    <row r="1354" spans="1:34" x14ac:dyDescent="0.25">
      <c r="A1354" s="1">
        <v>45505</v>
      </c>
      <c r="B1354">
        <v>960</v>
      </c>
      <c r="C1354">
        <v>2.7837259E-2</v>
      </c>
      <c r="D1354">
        <v>1180</v>
      </c>
      <c r="E1354">
        <v>-3.2786885000000002E-2</v>
      </c>
      <c r="F1354">
        <v>6.0624143999999998E-2</v>
      </c>
      <c r="G1354">
        <v>6.0624143999999998E-2</v>
      </c>
      <c r="H1354">
        <v>3.3159851999999997E-2</v>
      </c>
      <c r="I1354">
        <v>1.8774088000000001E-2</v>
      </c>
      <c r="J1354">
        <v>1</v>
      </c>
      <c r="K1354">
        <v>1</v>
      </c>
      <c r="L1354">
        <v>1</v>
      </c>
      <c r="M1354">
        <v>5</v>
      </c>
      <c r="N1354">
        <v>1.4477196299999999</v>
      </c>
      <c r="O1354">
        <v>-8</v>
      </c>
      <c r="P1354">
        <v>5</v>
      </c>
      <c r="Q1354">
        <v>13</v>
      </c>
      <c r="R1354">
        <v>7680</v>
      </c>
      <c r="S1354">
        <v>-5900</v>
      </c>
      <c r="T1354">
        <v>0</v>
      </c>
      <c r="U1354">
        <v>0</v>
      </c>
      <c r="V1354" t="s">
        <v>34</v>
      </c>
      <c r="W1354">
        <v>7680</v>
      </c>
      <c r="X1354">
        <v>-5900</v>
      </c>
      <c r="Y1354">
        <v>0</v>
      </c>
      <c r="Z1354">
        <v>3.3159851999999997E-2</v>
      </c>
      <c r="AA1354">
        <v>13580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13580</v>
      </c>
      <c r="AH1354">
        <f t="shared" si="21"/>
        <v>0</v>
      </c>
    </row>
    <row r="1355" spans="1:34" x14ac:dyDescent="0.25">
      <c r="A1355" s="1">
        <v>45506</v>
      </c>
      <c r="B1355">
        <v>903</v>
      </c>
      <c r="C1355">
        <v>-5.9374999999999997E-2</v>
      </c>
      <c r="D1355">
        <v>1090</v>
      </c>
      <c r="E1355">
        <v>-7.6271186000000005E-2</v>
      </c>
      <c r="F1355">
        <v>1.6896186000000001E-2</v>
      </c>
      <c r="G1355">
        <v>1.6896186000000001E-2</v>
      </c>
      <c r="H1355">
        <v>3.4435994999999997E-2</v>
      </c>
      <c r="I1355">
        <v>3.3582809999999998E-2</v>
      </c>
      <c r="J1355">
        <v>1</v>
      </c>
      <c r="K1355">
        <v>1</v>
      </c>
      <c r="L1355">
        <v>0</v>
      </c>
      <c r="M1355">
        <v>5</v>
      </c>
      <c r="N1355">
        <v>1.5505851740000001</v>
      </c>
      <c r="O1355">
        <v>8</v>
      </c>
      <c r="P1355">
        <v>-5</v>
      </c>
      <c r="Q1355">
        <v>13</v>
      </c>
      <c r="R1355">
        <v>-7224</v>
      </c>
      <c r="S1355">
        <v>5450</v>
      </c>
      <c r="T1355">
        <v>456</v>
      </c>
      <c r="U1355">
        <v>-450</v>
      </c>
      <c r="V1355" t="s">
        <v>37</v>
      </c>
      <c r="W1355">
        <v>0</v>
      </c>
      <c r="X1355">
        <v>0</v>
      </c>
      <c r="Y1355">
        <v>0</v>
      </c>
      <c r="Z1355">
        <v>3.4435994999999997E-2</v>
      </c>
      <c r="AA1355">
        <v>12674</v>
      </c>
      <c r="AB1355">
        <v>0</v>
      </c>
      <c r="AC1355">
        <v>6</v>
      </c>
      <c r="AD1355">
        <v>4.7341000000000001E-4</v>
      </c>
      <c r="AE1355">
        <v>0</v>
      </c>
      <c r="AF1355">
        <v>0</v>
      </c>
      <c r="AG1355">
        <v>0</v>
      </c>
      <c r="AH1355">
        <f t="shared" si="21"/>
        <v>0</v>
      </c>
    </row>
    <row r="1356" spans="1:34" x14ac:dyDescent="0.25">
      <c r="A1356" s="1">
        <v>45509</v>
      </c>
      <c r="B1356">
        <v>815</v>
      </c>
      <c r="C1356">
        <v>-9.7452935000000004E-2</v>
      </c>
      <c r="D1356">
        <v>991</v>
      </c>
      <c r="E1356">
        <v>-9.0825688000000002E-2</v>
      </c>
      <c r="F1356">
        <v>-6.6272470000000002E-3</v>
      </c>
      <c r="G1356">
        <v>6.6272470000000002E-3</v>
      </c>
      <c r="H1356">
        <v>4.9894468999999997E-2</v>
      </c>
      <c r="I1356">
        <v>4.1117204999999997E-2</v>
      </c>
      <c r="J1356">
        <v>0</v>
      </c>
      <c r="K1356">
        <v>0</v>
      </c>
      <c r="L1356">
        <v>-1</v>
      </c>
      <c r="M1356">
        <v>5</v>
      </c>
      <c r="N1356">
        <v>1.13326068</v>
      </c>
      <c r="O1356">
        <v>8</v>
      </c>
      <c r="P1356">
        <v>-5</v>
      </c>
      <c r="Q1356">
        <v>13</v>
      </c>
      <c r="R1356">
        <v>-6520</v>
      </c>
      <c r="S1356">
        <v>4955</v>
      </c>
      <c r="T1356">
        <v>1160</v>
      </c>
      <c r="U1356">
        <v>-945</v>
      </c>
      <c r="V1356" t="s">
        <v>35</v>
      </c>
      <c r="W1356">
        <v>-6520</v>
      </c>
      <c r="X1356">
        <v>4955</v>
      </c>
      <c r="Y1356">
        <v>215</v>
      </c>
      <c r="Z1356">
        <v>4.9894468999999997E-2</v>
      </c>
      <c r="AA1356">
        <v>11475</v>
      </c>
      <c r="AB1356">
        <v>0</v>
      </c>
      <c r="AC1356">
        <v>215</v>
      </c>
      <c r="AD1356">
        <v>1.8736382999999999E-2</v>
      </c>
      <c r="AE1356">
        <v>0</v>
      </c>
      <c r="AF1356">
        <v>215</v>
      </c>
      <c r="AG1356">
        <v>0</v>
      </c>
      <c r="AH1356">
        <f t="shared" si="21"/>
        <v>1.8736383442265796E-2</v>
      </c>
    </row>
    <row r="1357" spans="1:34" x14ac:dyDescent="0.25">
      <c r="A1357" s="1">
        <v>45510</v>
      </c>
      <c r="B1357">
        <v>880</v>
      </c>
      <c r="C1357">
        <v>7.9754600999999994E-2</v>
      </c>
      <c r="D1357">
        <v>1075</v>
      </c>
      <c r="E1357">
        <v>8.4762866000000006E-2</v>
      </c>
      <c r="F1357">
        <v>-5.0082649999999996E-3</v>
      </c>
      <c r="G1357">
        <v>5.0082649999999996E-3</v>
      </c>
      <c r="H1357">
        <v>6.9964672000000006E-2</v>
      </c>
      <c r="I1357">
        <v>6.8945185000000006E-2</v>
      </c>
      <c r="J1357">
        <v>0</v>
      </c>
      <c r="K1357">
        <v>0</v>
      </c>
      <c r="L1357">
        <v>0</v>
      </c>
      <c r="M1357">
        <v>5</v>
      </c>
      <c r="N1357">
        <v>1.2983018500000001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W1357">
        <v>0</v>
      </c>
      <c r="X1357">
        <v>0</v>
      </c>
      <c r="Y1357">
        <v>0</v>
      </c>
      <c r="Z1357">
        <v>6.9964672000000006E-2</v>
      </c>
      <c r="AA1357">
        <v>0</v>
      </c>
      <c r="AB1357" t="s">
        <v>33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f t="shared" si="21"/>
        <v>0</v>
      </c>
    </row>
    <row r="1358" spans="1:34" x14ac:dyDescent="0.25">
      <c r="A1358" s="1">
        <v>45511</v>
      </c>
      <c r="B1358">
        <v>920</v>
      </c>
      <c r="C1358">
        <v>4.5454544999999999E-2</v>
      </c>
      <c r="D1358">
        <v>1150</v>
      </c>
      <c r="E1358">
        <v>6.9767441999999999E-2</v>
      </c>
      <c r="F1358">
        <v>-2.4312896000000001E-2</v>
      </c>
      <c r="G1358">
        <v>2.4312896000000001E-2</v>
      </c>
      <c r="H1358">
        <v>7.4534270999999999E-2</v>
      </c>
      <c r="I1358">
        <v>8.1826694000000005E-2</v>
      </c>
      <c r="J1358">
        <v>0</v>
      </c>
      <c r="K1358">
        <v>0</v>
      </c>
      <c r="L1358">
        <v>0</v>
      </c>
      <c r="M1358">
        <v>5</v>
      </c>
      <c r="N1358">
        <v>1.9186046510000001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W1358">
        <v>0</v>
      </c>
      <c r="X1358">
        <v>0</v>
      </c>
      <c r="Y1358">
        <v>0</v>
      </c>
      <c r="Z1358">
        <v>8.1826694000000005E-2</v>
      </c>
      <c r="AA1358">
        <v>0</v>
      </c>
      <c r="AB1358" t="s">
        <v>33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f t="shared" si="21"/>
        <v>0</v>
      </c>
    </row>
    <row r="1359" spans="1:34" x14ac:dyDescent="0.25">
      <c r="A1359" s="1">
        <v>45512</v>
      </c>
      <c r="B1359">
        <v>896</v>
      </c>
      <c r="C1359">
        <v>-2.6086957000000001E-2</v>
      </c>
      <c r="D1359">
        <v>1115</v>
      </c>
      <c r="E1359">
        <v>-3.0434783E-2</v>
      </c>
      <c r="F1359">
        <v>4.3478259999999999E-3</v>
      </c>
      <c r="G1359">
        <v>4.3478259999999999E-3</v>
      </c>
      <c r="H1359">
        <v>7.3252842999999998E-2</v>
      </c>
      <c r="I1359">
        <v>8.1662861000000003E-2</v>
      </c>
      <c r="J1359">
        <v>1</v>
      </c>
      <c r="K1359">
        <v>0</v>
      </c>
      <c r="L1359">
        <v>0</v>
      </c>
      <c r="M1359">
        <v>5</v>
      </c>
      <c r="N1359">
        <v>1.4518229170000001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W1359">
        <v>0</v>
      </c>
      <c r="X1359">
        <v>0</v>
      </c>
      <c r="Y1359">
        <v>0</v>
      </c>
      <c r="Z1359">
        <v>8.1662861000000003E-2</v>
      </c>
      <c r="AA1359">
        <v>0</v>
      </c>
      <c r="AB1359" t="s">
        <v>33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f t="shared" si="21"/>
        <v>0</v>
      </c>
    </row>
    <row r="1360" spans="1:34" x14ac:dyDescent="0.25">
      <c r="A1360" s="1">
        <v>45513</v>
      </c>
      <c r="B1360">
        <v>934</v>
      </c>
      <c r="C1360">
        <v>4.2410714000000002E-2</v>
      </c>
      <c r="D1360">
        <v>1125</v>
      </c>
      <c r="E1360">
        <v>8.9686100000000001E-3</v>
      </c>
      <c r="F1360">
        <v>3.3442104E-2</v>
      </c>
      <c r="G1360">
        <v>3.3442104E-2</v>
      </c>
      <c r="H1360">
        <v>7.0736439999999998E-2</v>
      </c>
      <c r="I1360">
        <v>7.2373061000000002E-2</v>
      </c>
      <c r="J1360">
        <v>1</v>
      </c>
      <c r="K1360">
        <v>0</v>
      </c>
      <c r="L1360">
        <v>0</v>
      </c>
      <c r="M1360">
        <v>5</v>
      </c>
      <c r="N1360">
        <v>0.25471539300000001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W1360">
        <v>0</v>
      </c>
      <c r="X1360">
        <v>0</v>
      </c>
      <c r="Y1360">
        <v>0</v>
      </c>
      <c r="Z1360">
        <v>7.2373061000000002E-2</v>
      </c>
      <c r="AA1360">
        <v>0</v>
      </c>
      <c r="AB1360" t="s">
        <v>33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f t="shared" si="21"/>
        <v>0</v>
      </c>
    </row>
    <row r="1361" spans="1:34" x14ac:dyDescent="0.25">
      <c r="A1361" s="1">
        <v>45516</v>
      </c>
      <c r="B1361">
        <v>940</v>
      </c>
      <c r="C1361">
        <v>6.4239830000000003E-3</v>
      </c>
      <c r="D1361">
        <v>1175</v>
      </c>
      <c r="E1361">
        <v>4.4444444E-2</v>
      </c>
      <c r="F1361">
        <v>-3.8020461999999998E-2</v>
      </c>
      <c r="G1361">
        <v>3.8020461999999998E-2</v>
      </c>
      <c r="H1361">
        <v>4.0525083000000003E-2</v>
      </c>
      <c r="I1361">
        <v>4.6723658000000001E-2</v>
      </c>
      <c r="J1361">
        <v>0</v>
      </c>
      <c r="K1361">
        <v>0</v>
      </c>
      <c r="L1361">
        <v>0</v>
      </c>
      <c r="M1361">
        <v>5</v>
      </c>
      <c r="N1361">
        <v>8.6481481480000006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W1361">
        <v>0</v>
      </c>
      <c r="X1361">
        <v>0</v>
      </c>
      <c r="Y1361">
        <v>0</v>
      </c>
      <c r="Z1361">
        <v>4.6723658000000001E-2</v>
      </c>
      <c r="AA1361">
        <v>0</v>
      </c>
      <c r="AB1361" t="s">
        <v>33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f t="shared" si="21"/>
        <v>0</v>
      </c>
    </row>
    <row r="1362" spans="1:34" x14ac:dyDescent="0.25">
      <c r="A1362" s="1">
        <v>45517</v>
      </c>
      <c r="B1362">
        <v>941</v>
      </c>
      <c r="C1362">
        <v>1.06383E-3</v>
      </c>
      <c r="D1362">
        <v>1160</v>
      </c>
      <c r="E1362">
        <v>-1.2765957E-2</v>
      </c>
      <c r="F1362">
        <v>1.3829787E-2</v>
      </c>
      <c r="G1362">
        <v>1.3829787E-2</v>
      </c>
      <c r="H1362">
        <v>3.0117080000000001E-2</v>
      </c>
      <c r="I1362">
        <v>4.1027837999999997E-2</v>
      </c>
      <c r="J1362">
        <v>1</v>
      </c>
      <c r="K1362">
        <v>0</v>
      </c>
      <c r="L1362">
        <v>0</v>
      </c>
      <c r="M1362">
        <v>5</v>
      </c>
      <c r="N1362">
        <v>14.792773650000001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W1362">
        <v>0</v>
      </c>
      <c r="X1362">
        <v>0</v>
      </c>
      <c r="Y1362">
        <v>0</v>
      </c>
      <c r="Z1362">
        <v>4.1027837999999997E-2</v>
      </c>
      <c r="AA1362">
        <v>0</v>
      </c>
      <c r="AB1362" t="s">
        <v>33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f t="shared" si="21"/>
        <v>0</v>
      </c>
    </row>
    <row r="1363" spans="1:34" x14ac:dyDescent="0.25">
      <c r="A1363" s="1">
        <v>45518</v>
      </c>
      <c r="B1363">
        <v>948</v>
      </c>
      <c r="C1363">
        <v>7.4388950000000001E-3</v>
      </c>
      <c r="D1363">
        <v>1185</v>
      </c>
      <c r="E1363">
        <v>2.1551724000000001E-2</v>
      </c>
      <c r="F1363">
        <v>-1.4112829E-2</v>
      </c>
      <c r="G1363">
        <v>1.4112829E-2</v>
      </c>
      <c r="H1363">
        <v>2.4400901999999999E-2</v>
      </c>
      <c r="I1363">
        <v>2.9187653000000001E-2</v>
      </c>
      <c r="J1363">
        <v>0</v>
      </c>
      <c r="K1363">
        <v>0</v>
      </c>
      <c r="L1363">
        <v>0</v>
      </c>
      <c r="M1363">
        <v>5</v>
      </c>
      <c r="N1363">
        <v>3.6214593599999998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W1363">
        <v>0</v>
      </c>
      <c r="X1363">
        <v>0</v>
      </c>
      <c r="Y1363">
        <v>0</v>
      </c>
      <c r="Z1363">
        <v>2.9187653000000001E-2</v>
      </c>
      <c r="AA1363">
        <v>0</v>
      </c>
      <c r="AB1363" t="s">
        <v>33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f t="shared" si="21"/>
        <v>0</v>
      </c>
    </row>
    <row r="1364" spans="1:34" x14ac:dyDescent="0.25">
      <c r="A1364" s="1">
        <v>45519</v>
      </c>
      <c r="B1364">
        <v>943</v>
      </c>
      <c r="C1364">
        <v>-5.274262E-3</v>
      </c>
      <c r="D1364">
        <v>1155</v>
      </c>
      <c r="E1364">
        <v>-2.5316456000000001E-2</v>
      </c>
      <c r="F1364">
        <v>2.0042193999999999E-2</v>
      </c>
      <c r="G1364">
        <v>2.0042193999999999E-2</v>
      </c>
      <c r="H1364">
        <v>1.8588360000000002E-2</v>
      </c>
      <c r="I1364">
        <v>2.7622691000000001E-2</v>
      </c>
      <c r="J1364">
        <v>1</v>
      </c>
      <c r="K1364">
        <v>0</v>
      </c>
      <c r="L1364">
        <v>0</v>
      </c>
      <c r="M1364">
        <v>5</v>
      </c>
      <c r="N1364">
        <v>5.8791092259999997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W1364">
        <v>0</v>
      </c>
      <c r="X1364">
        <v>0</v>
      </c>
      <c r="Y1364">
        <v>0</v>
      </c>
      <c r="Z1364">
        <v>2.7622691000000001E-2</v>
      </c>
      <c r="AA1364">
        <v>0</v>
      </c>
      <c r="AB1364" t="s">
        <v>33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f t="shared" si="21"/>
        <v>0</v>
      </c>
    </row>
    <row r="1365" spans="1:34" x14ac:dyDescent="0.25">
      <c r="A1365" s="1">
        <v>45520</v>
      </c>
      <c r="B1365">
        <v>969</v>
      </c>
      <c r="C1365">
        <v>2.7571579999999998E-2</v>
      </c>
      <c r="D1365">
        <v>1230</v>
      </c>
      <c r="E1365">
        <v>6.4935065E-2</v>
      </c>
      <c r="F1365">
        <v>-3.7363485000000002E-2</v>
      </c>
      <c r="G1365">
        <v>3.7363485000000002E-2</v>
      </c>
      <c r="H1365">
        <v>1.2335119E-2</v>
      </c>
      <c r="I1365">
        <v>3.7868391000000001E-2</v>
      </c>
      <c r="J1365">
        <v>0</v>
      </c>
      <c r="K1365">
        <v>0</v>
      </c>
      <c r="L1365">
        <v>0</v>
      </c>
      <c r="M1365">
        <v>5</v>
      </c>
      <c r="N1365">
        <v>2.9895027569999999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W1365">
        <v>0</v>
      </c>
      <c r="X1365">
        <v>0</v>
      </c>
      <c r="Y1365">
        <v>0</v>
      </c>
      <c r="Z1365">
        <v>3.7868391000000001E-2</v>
      </c>
      <c r="AA1365">
        <v>0</v>
      </c>
      <c r="AB1365" t="s">
        <v>33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f t="shared" si="21"/>
        <v>0</v>
      </c>
    </row>
    <row r="1366" spans="1:34" x14ac:dyDescent="0.25">
      <c r="A1366" s="1">
        <v>45523</v>
      </c>
      <c r="B1366">
        <v>973</v>
      </c>
      <c r="C1366">
        <v>4.1279669999999997E-3</v>
      </c>
      <c r="D1366">
        <v>1255</v>
      </c>
      <c r="E1366">
        <v>2.0325203E-2</v>
      </c>
      <c r="F1366">
        <v>-1.6197236E-2</v>
      </c>
      <c r="G1366">
        <v>1.6197236E-2</v>
      </c>
      <c r="H1366">
        <v>1.2425032000000001E-2</v>
      </c>
      <c r="I1366">
        <v>3.5189824000000001E-2</v>
      </c>
      <c r="J1366">
        <v>0</v>
      </c>
      <c r="K1366">
        <v>0</v>
      </c>
      <c r="L1366">
        <v>0</v>
      </c>
      <c r="M1366">
        <v>5</v>
      </c>
      <c r="N1366">
        <v>6.3508165590000001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W1366">
        <v>0</v>
      </c>
      <c r="X1366">
        <v>0</v>
      </c>
      <c r="Y1366">
        <v>0</v>
      </c>
      <c r="Z1366">
        <v>3.5189824000000001E-2</v>
      </c>
      <c r="AA1366">
        <v>0</v>
      </c>
      <c r="AB1366" t="s">
        <v>33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f t="shared" si="21"/>
        <v>0</v>
      </c>
    </row>
    <row r="1367" spans="1:34" x14ac:dyDescent="0.25">
      <c r="A1367" s="1">
        <v>45524</v>
      </c>
      <c r="B1367">
        <v>973</v>
      </c>
      <c r="C1367">
        <v>0</v>
      </c>
      <c r="D1367">
        <v>1250</v>
      </c>
      <c r="E1367">
        <v>-3.9840639999999998E-3</v>
      </c>
      <c r="F1367">
        <v>3.9840639999999998E-3</v>
      </c>
      <c r="G1367">
        <v>3.9840639999999998E-3</v>
      </c>
      <c r="H1367">
        <v>1.2560161E-2</v>
      </c>
      <c r="I1367">
        <v>3.3724410000000003E-2</v>
      </c>
      <c r="J1367">
        <v>1</v>
      </c>
      <c r="K1367">
        <v>0</v>
      </c>
      <c r="L1367">
        <v>0</v>
      </c>
      <c r="M1367">
        <v>5</v>
      </c>
      <c r="N1367" t="s">
        <v>36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W1367">
        <v>0</v>
      </c>
      <c r="X1367">
        <v>0</v>
      </c>
      <c r="Y1367">
        <v>0</v>
      </c>
      <c r="Z1367">
        <v>3.3724410000000003E-2</v>
      </c>
      <c r="AA1367">
        <v>0</v>
      </c>
      <c r="AB1367" t="s">
        <v>33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f t="shared" si="21"/>
        <v>0</v>
      </c>
    </row>
    <row r="1368" spans="1:34" x14ac:dyDescent="0.25">
      <c r="A1368" s="1">
        <v>45525</v>
      </c>
      <c r="B1368">
        <v>958</v>
      </c>
      <c r="C1368">
        <v>-1.5416238000000001E-2</v>
      </c>
      <c r="D1368">
        <v>1220</v>
      </c>
      <c r="E1368">
        <v>-2.4E-2</v>
      </c>
      <c r="F1368">
        <v>8.583762E-3</v>
      </c>
      <c r="G1368">
        <v>8.583762E-3</v>
      </c>
      <c r="H1368">
        <v>1.5956742999999999E-2</v>
      </c>
      <c r="I1368">
        <v>3.7610460999999998E-2</v>
      </c>
      <c r="J1368">
        <v>1</v>
      </c>
      <c r="K1368">
        <v>0</v>
      </c>
      <c r="L1368">
        <v>0</v>
      </c>
      <c r="M1368">
        <v>5</v>
      </c>
      <c r="N1368">
        <v>1.9825636740000001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W1368">
        <v>0</v>
      </c>
      <c r="X1368">
        <v>0</v>
      </c>
      <c r="Y1368">
        <v>0</v>
      </c>
      <c r="Z1368">
        <v>3.7610460999999998E-2</v>
      </c>
      <c r="AA1368">
        <v>0</v>
      </c>
      <c r="AB1368" t="s">
        <v>33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f t="shared" si="21"/>
        <v>0</v>
      </c>
    </row>
    <row r="1369" spans="1:34" x14ac:dyDescent="0.25">
      <c r="A1369" s="1">
        <v>45526</v>
      </c>
      <c r="B1369">
        <v>951</v>
      </c>
      <c r="C1369">
        <v>-7.3068889999999996E-3</v>
      </c>
      <c r="D1369">
        <v>1230</v>
      </c>
      <c r="E1369">
        <v>8.1967210000000006E-3</v>
      </c>
      <c r="F1369">
        <v>-1.5503611E-2</v>
      </c>
      <c r="G1369">
        <v>1.5503611E-2</v>
      </c>
      <c r="H1369">
        <v>1.6218568999999999E-2</v>
      </c>
      <c r="I1369">
        <v>3.3284360999999998E-2</v>
      </c>
      <c r="J1369">
        <v>0</v>
      </c>
      <c r="K1369">
        <v>0</v>
      </c>
      <c r="L1369">
        <v>0</v>
      </c>
      <c r="M1369">
        <v>5</v>
      </c>
      <c r="N1369">
        <v>1.4508824680000001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W1369">
        <v>0</v>
      </c>
      <c r="X1369">
        <v>0</v>
      </c>
      <c r="Y1369">
        <v>0</v>
      </c>
      <c r="Z1369">
        <v>3.3284360999999998E-2</v>
      </c>
      <c r="AA1369">
        <v>0</v>
      </c>
      <c r="AB1369" t="s">
        <v>33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f t="shared" si="21"/>
        <v>0</v>
      </c>
    </row>
    <row r="1370" spans="1:34" x14ac:dyDescent="0.25">
      <c r="A1370" s="1">
        <v>45527</v>
      </c>
      <c r="B1370">
        <v>949</v>
      </c>
      <c r="C1370">
        <v>-2.1030490000000001E-3</v>
      </c>
      <c r="D1370">
        <v>1225</v>
      </c>
      <c r="E1370">
        <v>-4.0650410000000001E-3</v>
      </c>
      <c r="F1370">
        <v>1.9619910000000002E-3</v>
      </c>
      <c r="G1370">
        <v>1.9619910000000002E-3</v>
      </c>
      <c r="H1370">
        <v>7.5304509999999996E-3</v>
      </c>
      <c r="I1370">
        <v>1.6478843999999999E-2</v>
      </c>
      <c r="J1370">
        <v>1</v>
      </c>
      <c r="K1370">
        <v>0</v>
      </c>
      <c r="L1370">
        <v>0</v>
      </c>
      <c r="M1370">
        <v>5</v>
      </c>
      <c r="N1370">
        <v>2.4950846850000001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W1370">
        <v>0</v>
      </c>
      <c r="X1370">
        <v>0</v>
      </c>
      <c r="Y1370">
        <v>0</v>
      </c>
      <c r="Z1370">
        <v>1.6478843999999999E-2</v>
      </c>
      <c r="AA1370">
        <v>0</v>
      </c>
      <c r="AB1370" t="s">
        <v>33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f t="shared" si="21"/>
        <v>0</v>
      </c>
    </row>
    <row r="1371" spans="1:34" x14ac:dyDescent="0.25">
      <c r="A1371" s="1">
        <v>45530</v>
      </c>
      <c r="B1371">
        <v>950</v>
      </c>
      <c r="C1371">
        <v>1.053741E-3</v>
      </c>
      <c r="D1371">
        <v>1215</v>
      </c>
      <c r="E1371">
        <v>-8.1632649999999994E-3</v>
      </c>
      <c r="F1371">
        <v>9.2170059999999998E-3</v>
      </c>
      <c r="G1371">
        <v>9.2170059999999998E-3</v>
      </c>
      <c r="H1371">
        <v>6.7741880000000004E-3</v>
      </c>
      <c r="I1371">
        <v>1.1589026000000001E-2</v>
      </c>
      <c r="J1371">
        <v>1</v>
      </c>
      <c r="K1371">
        <v>0</v>
      </c>
      <c r="L1371">
        <v>0</v>
      </c>
      <c r="M1371">
        <v>5</v>
      </c>
      <c r="N1371">
        <v>9.9079269599999993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W1371">
        <v>0</v>
      </c>
      <c r="X1371">
        <v>0</v>
      </c>
      <c r="Y1371">
        <v>0</v>
      </c>
      <c r="Z1371">
        <v>1.1589026000000001E-2</v>
      </c>
      <c r="AA1371">
        <v>0</v>
      </c>
      <c r="AB1371" t="s">
        <v>33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f t="shared" si="21"/>
        <v>0</v>
      </c>
    </row>
    <row r="1372" spans="1:34" x14ac:dyDescent="0.25">
      <c r="A1372" s="1">
        <v>45531</v>
      </c>
      <c r="B1372">
        <v>942</v>
      </c>
      <c r="C1372">
        <v>-8.4210529999999995E-3</v>
      </c>
      <c r="D1372">
        <v>1210</v>
      </c>
      <c r="E1372">
        <v>-4.1152259999999996E-3</v>
      </c>
      <c r="F1372">
        <v>-4.3058259999999996E-3</v>
      </c>
      <c r="G1372">
        <v>4.3058259999999996E-3</v>
      </c>
      <c r="H1372">
        <v>6.3287880000000001E-3</v>
      </c>
      <c r="I1372">
        <v>1.1582327999999999E-2</v>
      </c>
      <c r="J1372">
        <v>0</v>
      </c>
      <c r="K1372">
        <v>0</v>
      </c>
      <c r="L1372">
        <v>0</v>
      </c>
      <c r="M1372">
        <v>5</v>
      </c>
      <c r="N1372">
        <v>0.627713996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W1372">
        <v>0</v>
      </c>
      <c r="X1372">
        <v>0</v>
      </c>
      <c r="Y1372">
        <v>0</v>
      </c>
      <c r="Z1372">
        <v>1.1582327999999999E-2</v>
      </c>
      <c r="AA1372">
        <v>0</v>
      </c>
      <c r="AB1372" t="s">
        <v>33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f t="shared" si="21"/>
        <v>0</v>
      </c>
    </row>
    <row r="1373" spans="1:34" x14ac:dyDescent="0.25">
      <c r="A1373" s="1">
        <v>45532</v>
      </c>
      <c r="B1373">
        <v>964</v>
      </c>
      <c r="C1373">
        <v>2.3354565000000001E-2</v>
      </c>
      <c r="D1373">
        <v>1200</v>
      </c>
      <c r="E1373">
        <v>-8.2644629999999997E-3</v>
      </c>
      <c r="F1373">
        <v>3.1619028E-2</v>
      </c>
      <c r="G1373">
        <v>3.1619028E-2</v>
      </c>
      <c r="H1373">
        <v>1.2909505999999999E-2</v>
      </c>
      <c r="I1373">
        <v>6.7401809999999996E-3</v>
      </c>
      <c r="J1373">
        <v>1</v>
      </c>
      <c r="K1373">
        <v>1</v>
      </c>
      <c r="L1373">
        <v>1</v>
      </c>
      <c r="M1373">
        <v>5</v>
      </c>
      <c r="N1373">
        <v>0.44050116700000003</v>
      </c>
      <c r="O1373">
        <v>-3</v>
      </c>
      <c r="P1373">
        <v>5</v>
      </c>
      <c r="Q1373">
        <v>8</v>
      </c>
      <c r="R1373">
        <v>2892</v>
      </c>
      <c r="S1373">
        <v>-6000</v>
      </c>
      <c r="T1373">
        <v>0</v>
      </c>
      <c r="U1373">
        <v>0</v>
      </c>
      <c r="V1373" t="s">
        <v>34</v>
      </c>
      <c r="W1373">
        <v>2892</v>
      </c>
      <c r="X1373">
        <v>-6000</v>
      </c>
      <c r="Y1373">
        <v>0</v>
      </c>
      <c r="Z1373">
        <v>1.2909505999999999E-2</v>
      </c>
      <c r="AA1373">
        <v>8892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8892</v>
      </c>
      <c r="AH1373">
        <f t="shared" si="21"/>
        <v>0</v>
      </c>
    </row>
    <row r="1374" spans="1:34" x14ac:dyDescent="0.25">
      <c r="A1374" s="1">
        <v>45533</v>
      </c>
      <c r="B1374">
        <v>943</v>
      </c>
      <c r="C1374">
        <v>-2.1784232000000001E-2</v>
      </c>
      <c r="D1374">
        <v>1250</v>
      </c>
      <c r="E1374">
        <v>4.1666666999999998E-2</v>
      </c>
      <c r="F1374">
        <v>-6.3450899000000005E-2</v>
      </c>
      <c r="G1374">
        <v>6.3450899000000005E-2</v>
      </c>
      <c r="H1374">
        <v>1.6461725999999999E-2</v>
      </c>
      <c r="I1374">
        <v>2.1484362999999999E-2</v>
      </c>
      <c r="J1374">
        <v>0</v>
      </c>
      <c r="K1374">
        <v>0</v>
      </c>
      <c r="L1374">
        <v>-1</v>
      </c>
      <c r="M1374">
        <v>5</v>
      </c>
      <c r="N1374">
        <v>2.5353902609999999</v>
      </c>
      <c r="O1374">
        <v>3</v>
      </c>
      <c r="P1374">
        <v>-5</v>
      </c>
      <c r="Q1374">
        <v>8</v>
      </c>
      <c r="R1374">
        <v>-2829</v>
      </c>
      <c r="S1374">
        <v>6250</v>
      </c>
      <c r="T1374">
        <v>63</v>
      </c>
      <c r="U1374">
        <v>250</v>
      </c>
      <c r="V1374" t="s">
        <v>35</v>
      </c>
      <c r="W1374">
        <v>-2829</v>
      </c>
      <c r="X1374">
        <v>6250</v>
      </c>
      <c r="Y1374">
        <v>313</v>
      </c>
      <c r="Z1374">
        <v>2.1484362999999999E-2</v>
      </c>
      <c r="AA1374">
        <v>9079</v>
      </c>
      <c r="AB1374">
        <v>0</v>
      </c>
      <c r="AC1374">
        <v>313</v>
      </c>
      <c r="AD1374">
        <v>3.4475161999999997E-2</v>
      </c>
      <c r="AE1374">
        <v>0</v>
      </c>
      <c r="AF1374">
        <v>313</v>
      </c>
      <c r="AG1374">
        <v>0</v>
      </c>
      <c r="AH1374">
        <f t="shared" si="21"/>
        <v>3.4475162462826302E-2</v>
      </c>
    </row>
    <row r="1375" spans="1:34" x14ac:dyDescent="0.25">
      <c r="A1375" s="1">
        <v>45534</v>
      </c>
      <c r="B1375">
        <v>944</v>
      </c>
      <c r="C1375">
        <v>1.0604449999999999E-3</v>
      </c>
      <c r="D1375">
        <v>1240</v>
      </c>
      <c r="E1375">
        <v>-8.0000000000000002E-3</v>
      </c>
      <c r="F1375">
        <v>9.0604450000000003E-3</v>
      </c>
      <c r="G1375">
        <v>9.0604450000000003E-3</v>
      </c>
      <c r="H1375">
        <v>1.6497352999999999E-2</v>
      </c>
      <c r="I1375">
        <v>2.1894863000000001E-2</v>
      </c>
      <c r="J1375">
        <v>1</v>
      </c>
      <c r="K1375">
        <v>0</v>
      </c>
      <c r="L1375">
        <v>0</v>
      </c>
      <c r="M1375">
        <v>5</v>
      </c>
      <c r="N1375">
        <v>9.909491525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W1375">
        <v>0</v>
      </c>
      <c r="X1375">
        <v>0</v>
      </c>
      <c r="Y1375">
        <v>0</v>
      </c>
      <c r="Z1375">
        <v>2.1894863000000001E-2</v>
      </c>
      <c r="AA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f t="shared" si="21"/>
        <v>0</v>
      </c>
    </row>
    <row r="1376" spans="1:34" x14ac:dyDescent="0.25">
      <c r="AG137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A9D67-7CA0-4232-BD9E-63A41386D2A7}">
  <dimension ref="A1:M13"/>
  <sheetViews>
    <sheetView tabSelected="1" workbookViewId="0">
      <selection activeCell="B6" sqref="B6"/>
    </sheetView>
  </sheetViews>
  <sheetFormatPr defaultRowHeight="15" x14ac:dyDescent="0.25"/>
  <cols>
    <col min="10" max="10" width="12" bestFit="1" customWidth="1"/>
    <col min="11" max="11" width="12.7109375" bestFit="1" customWidth="1"/>
    <col min="12" max="12" width="12.85546875" bestFit="1" customWidth="1"/>
    <col min="13" max="13" width="14.140625" bestFit="1" customWidth="1"/>
  </cols>
  <sheetData>
    <row r="1" spans="1:13" x14ac:dyDescent="0.25">
      <c r="H1" t="s">
        <v>48</v>
      </c>
      <c r="I1">
        <v>1374</v>
      </c>
      <c r="J1" t="s">
        <v>49</v>
      </c>
      <c r="K1">
        <f>I1/252</f>
        <v>5.4523809523809526</v>
      </c>
    </row>
    <row r="2" spans="1:13" x14ac:dyDescent="0.25">
      <c r="B2" t="s">
        <v>39</v>
      </c>
      <c r="C2" t="s">
        <v>40</v>
      </c>
      <c r="D2" t="s">
        <v>38</v>
      </c>
      <c r="E2" t="s">
        <v>41</v>
      </c>
      <c r="F2" t="s">
        <v>51</v>
      </c>
      <c r="I2" t="s">
        <v>39</v>
      </c>
      <c r="J2" t="s">
        <v>44</v>
      </c>
      <c r="K2" t="s">
        <v>45</v>
      </c>
      <c r="L2" t="s">
        <v>47</v>
      </c>
      <c r="M2" t="s">
        <v>42</v>
      </c>
    </row>
    <row r="3" spans="1:13" x14ac:dyDescent="0.25">
      <c r="B3">
        <f>I4</f>
        <v>0.1081153114812106</v>
      </c>
      <c r="C3">
        <v>3.9E-2</v>
      </c>
      <c r="D3">
        <f>L4/M4</f>
        <v>0.44853688118811885</v>
      </c>
      <c r="E3">
        <f>D13</f>
        <v>0.16443731468908826</v>
      </c>
      <c r="F3">
        <f>_xlfn.STDEV.P('Alpha calculation 2330.TW VS 24'!AH2:AH1375)</f>
        <v>6.6252232604498461E-3</v>
      </c>
      <c r="I3">
        <f>SUM('Alpha calculation 2330.TW VS 24'!AH2:AH1375)</f>
        <v>0.5894858649808864</v>
      </c>
      <c r="J3">
        <f>ABS('Alpha calculation 2330.TW VS 24'!C1375)</f>
        <v>1.0604449999999999E-3</v>
      </c>
      <c r="K3">
        <f>ABS('Alpha calculation 2330.TW VS 24'!E1375)</f>
        <v>8.0000000000000002E-3</v>
      </c>
      <c r="M3">
        <v>1.01E-2</v>
      </c>
    </row>
    <row r="4" spans="1:13" x14ac:dyDescent="0.25">
      <c r="H4" t="s">
        <v>46</v>
      </c>
      <c r="I4">
        <f>I3/I1*252</f>
        <v>0.1081153114812106</v>
      </c>
      <c r="J4">
        <f>J3*SQRT(252)</f>
        <v>1.6834042494371339E-2</v>
      </c>
      <c r="K4">
        <f t="shared" ref="K4:M4" si="0">K3*SQRT(252)</f>
        <v>0.12699606293110036</v>
      </c>
      <c r="L4">
        <f>0.5*J4+0.5*K4</f>
        <v>7.191505271273585E-2</v>
      </c>
      <c r="M4">
        <f t="shared" si="0"/>
        <v>0.16033252945051418</v>
      </c>
    </row>
    <row r="5" spans="1:13" x14ac:dyDescent="0.25">
      <c r="A5" t="s">
        <v>43</v>
      </c>
      <c r="B5">
        <f>B3-C3-D3*(E3-C3)</f>
        <v>1.2852049565954357E-2</v>
      </c>
    </row>
    <row r="6" spans="1:13" x14ac:dyDescent="0.25">
      <c r="A6" t="s">
        <v>50</v>
      </c>
      <c r="B6">
        <f>(B3-C3)/F3</f>
        <v>10.432148286051532</v>
      </c>
    </row>
    <row r="12" spans="1:13" x14ac:dyDescent="0.25">
      <c r="B12">
        <v>2978</v>
      </c>
    </row>
    <row r="13" spans="1:13" x14ac:dyDescent="0.25">
      <c r="B13">
        <v>5648</v>
      </c>
      <c r="C13">
        <f>B13/B12-1</f>
        <v>0.89657488247145745</v>
      </c>
      <c r="D13">
        <f>C13/K1</f>
        <v>0.16443731468908826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Alpha calculation 2330.TW VS 24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Ming Soon Tee</cp:lastModifiedBy>
  <dcterms:created xsi:type="dcterms:W3CDTF">2024-09-02T18:26:36Z</dcterms:created>
  <dcterms:modified xsi:type="dcterms:W3CDTF">2024-09-03T07:06:27Z</dcterms:modified>
</cp:coreProperties>
</file>